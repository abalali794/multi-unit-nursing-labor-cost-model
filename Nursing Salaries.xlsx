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rahmanalali/Desktop/GitHub Projects/Nursing Salaries/"/>
    </mc:Choice>
  </mc:AlternateContent>
  <xr:revisionPtr revIDLastSave="0" documentId="13_ncr:1_{BACC01B7-EFFA-9144-8E69-CF418793D174}" xr6:coauthVersionLast="47" xr6:coauthVersionMax="47" xr10:uidLastSave="{00000000-0000-0000-0000-000000000000}"/>
  <bookViews>
    <workbookView xWindow="9080" yWindow="600" windowWidth="35580" windowHeight="28200" activeTab="2" xr2:uid="{28A90880-889B-094F-BCB9-A1196F6EF25C}"/>
  </bookViews>
  <sheets>
    <sheet name="Cover Page" sheetId="7" r:id="rId1"/>
    <sheet name="Output - Rollup" sheetId="5" r:id="rId2"/>
    <sheet name="Model" sheetId="8" r:id="rId3"/>
    <sheet name="Inputs &amp; Scenario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8" l="1"/>
  <c r="K73" i="8"/>
  <c r="K74" i="8" s="1"/>
  <c r="K76" i="8" s="1"/>
  <c r="K35" i="8"/>
  <c r="K69" i="8" s="1"/>
  <c r="K34" i="8"/>
  <c r="K33" i="8"/>
  <c r="K32" i="8"/>
  <c r="K19" i="8" s="1"/>
  <c r="I9" i="5" s="1"/>
  <c r="G73" i="8"/>
  <c r="G74" i="8" s="1"/>
  <c r="G76" i="8" s="1"/>
  <c r="G71" i="8"/>
  <c r="K58" i="8"/>
  <c r="G58" i="8"/>
  <c r="K57" i="8"/>
  <c r="G57" i="8"/>
  <c r="K56" i="8"/>
  <c r="G56" i="8"/>
  <c r="C56" i="8"/>
  <c r="K43" i="8"/>
  <c r="G43" i="8"/>
  <c r="C43" i="8"/>
  <c r="G33" i="8"/>
  <c r="G32" i="8"/>
  <c r="C73" i="8"/>
  <c r="C74" i="8" s="1"/>
  <c r="C71" i="8"/>
  <c r="C58" i="8"/>
  <c r="C57" i="8"/>
  <c r="C36" i="8"/>
  <c r="C69" i="8" s="1"/>
  <c r="C33" i="8"/>
  <c r="C32" i="8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K75" i="8" l="1"/>
  <c r="K77" i="8" s="1"/>
  <c r="G75" i="8"/>
  <c r="G77" i="8" s="1"/>
  <c r="C27" i="8"/>
  <c r="C35" i="8" s="1"/>
  <c r="G24" i="8"/>
  <c r="G54" i="8" s="1"/>
  <c r="G55" i="8" s="1"/>
  <c r="K26" i="8"/>
  <c r="G27" i="8"/>
  <c r="G35" i="8" s="1"/>
  <c r="C24" i="8"/>
  <c r="C54" i="8" s="1"/>
  <c r="C55" i="8" s="1"/>
  <c r="K24" i="8"/>
  <c r="K54" i="8" s="1"/>
  <c r="K55" i="8" s="1"/>
  <c r="K78" i="8" s="1"/>
  <c r="C28" i="8"/>
  <c r="C68" i="8" s="1"/>
  <c r="C70" i="8" s="1"/>
  <c r="C72" i="8" s="1"/>
  <c r="G28" i="8"/>
  <c r="G68" i="8" s="1"/>
  <c r="K25" i="8"/>
  <c r="G25" i="8"/>
  <c r="G37" i="8" s="1"/>
  <c r="G19" i="8" s="1"/>
  <c r="I8" i="5" s="1"/>
  <c r="C25" i="8"/>
  <c r="C37" i="8" s="1"/>
  <c r="C19" i="8" s="1"/>
  <c r="I7" i="5" s="1"/>
  <c r="K28" i="8"/>
  <c r="K68" i="8" s="1"/>
  <c r="K70" i="8" s="1"/>
  <c r="K72" i="8" s="1"/>
  <c r="G26" i="8"/>
  <c r="C26" i="8"/>
  <c r="C34" i="8" s="1"/>
  <c r="C38" i="8" s="1"/>
  <c r="K27" i="8"/>
  <c r="K44" i="8"/>
  <c r="C44" i="8"/>
  <c r="C76" i="8"/>
  <c r="C75" i="8"/>
  <c r="C77" i="8" s="1"/>
  <c r="C39" i="8" l="1"/>
  <c r="K79" i="8"/>
  <c r="K17" i="8" s="1"/>
  <c r="G9" i="5" s="1"/>
  <c r="G78" i="8"/>
  <c r="K36" i="8"/>
  <c r="C78" i="8"/>
  <c r="C79" i="8" s="1"/>
  <c r="C17" i="8" s="1"/>
  <c r="G7" i="5" s="1"/>
  <c r="G34" i="8"/>
  <c r="G38" i="8" s="1"/>
  <c r="G39" i="8" s="1"/>
  <c r="G36" i="8"/>
  <c r="G69" i="8" s="1"/>
  <c r="G70" i="8" s="1"/>
  <c r="K45" i="8" l="1"/>
  <c r="K46" i="8" s="1"/>
  <c r="C45" i="8"/>
  <c r="C61" i="8" s="1"/>
  <c r="C16" i="8" s="1"/>
  <c r="D7" i="5" s="1"/>
  <c r="K61" i="8"/>
  <c r="K16" i="8" s="1"/>
  <c r="D9" i="5" s="1"/>
  <c r="G45" i="8"/>
  <c r="G50" i="8" s="1"/>
  <c r="G15" i="8" s="1"/>
  <c r="F8" i="5" s="1"/>
  <c r="K50" i="8"/>
  <c r="K15" i="8" s="1"/>
  <c r="F9" i="5" s="1"/>
  <c r="G72" i="8"/>
  <c r="G79" i="8" s="1"/>
  <c r="G17" i="8" s="1"/>
  <c r="G8" i="5" s="1"/>
  <c r="G44" i="8"/>
  <c r="I11" i="5"/>
  <c r="K48" i="8" l="1"/>
  <c r="K49" i="8" s="1"/>
  <c r="K14" i="8" s="1"/>
  <c r="E9" i="5" s="1"/>
  <c r="K47" i="8"/>
  <c r="K59" i="8" s="1"/>
  <c r="G61" i="8"/>
  <c r="G16" i="8" s="1"/>
  <c r="D8" i="5" s="1"/>
  <c r="D11" i="5" s="1"/>
  <c r="C46" i="8"/>
  <c r="C48" i="8" s="1"/>
  <c r="C50" i="8"/>
  <c r="C15" i="8" s="1"/>
  <c r="F7" i="5" s="1"/>
  <c r="G46" i="8"/>
  <c r="G47" i="8" s="1"/>
  <c r="G59" i="8" s="1"/>
  <c r="K60" i="8" l="1"/>
  <c r="K62" i="8" s="1"/>
  <c r="K63" i="8" s="1"/>
  <c r="K13" i="8" s="1"/>
  <c r="C60" i="8"/>
  <c r="C49" i="8"/>
  <c r="C14" i="8" s="1"/>
  <c r="E7" i="5" s="1"/>
  <c r="G48" i="8"/>
  <c r="C47" i="8"/>
  <c r="G11" i="5"/>
  <c r="K64" i="8" l="1"/>
  <c r="K20" i="8" s="1"/>
  <c r="J9" i="5" s="1"/>
  <c r="G60" i="8"/>
  <c r="G62" i="8" s="1"/>
  <c r="G63" i="8" s="1"/>
  <c r="G49" i="8"/>
  <c r="G14" i="8" s="1"/>
  <c r="E8" i="5" s="1"/>
  <c r="K18" i="8"/>
  <c r="H9" i="5" s="1"/>
  <c r="C9" i="5"/>
  <c r="C59" i="8"/>
  <c r="C62" i="8" s="1"/>
  <c r="C63" i="8" s="1"/>
  <c r="G64" i="8"/>
  <c r="G20" i="8" s="1"/>
  <c r="J8" i="5" s="1"/>
  <c r="G13" i="8"/>
  <c r="G18" i="8" l="1"/>
  <c r="H8" i="5" s="1"/>
  <c r="C8" i="5"/>
  <c r="C13" i="8"/>
  <c r="C64" i="8"/>
  <c r="C20" i="8" s="1"/>
  <c r="J7" i="5" s="1"/>
  <c r="C18" i="8" l="1"/>
  <c r="H7" i="5" s="1"/>
  <c r="H11" i="5" s="1"/>
  <c r="C7" i="5"/>
  <c r="C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<sst xmlns="http://schemas.openxmlformats.org/spreadsheetml/2006/main" count="248" uniqueCount="113">
  <si>
    <t>Model Control</t>
  </si>
  <si>
    <t>Scenario</t>
  </si>
  <si>
    <t>Pay Assumption</t>
  </si>
  <si>
    <t>Base RN Hourly wage ($/h)</t>
  </si>
  <si>
    <t>OT Myltiplier</t>
  </si>
  <si>
    <t>Agencey Horuly Rate ($/h)</t>
  </si>
  <si>
    <t>Benefit Load (% of Wages)</t>
  </si>
  <si>
    <t>Shift Differential (%add-on)</t>
  </si>
  <si>
    <t>Productive Hours/RN FTE (h/year)</t>
  </si>
  <si>
    <t xml:space="preserve">Turnover &amp; Vacancy Cost </t>
  </si>
  <si>
    <t>Annual RN Turnover Rate</t>
  </si>
  <si>
    <t>Replacement Cost/RN ($)</t>
  </si>
  <si>
    <t>Vacancy Weeks/Hire</t>
  </si>
  <si>
    <t>% of Vacancy Hours Covered by Agenecey</t>
  </si>
  <si>
    <t>% of Vacancy Hours Covered by OT</t>
  </si>
  <si>
    <t>Unit Operational Assumptions</t>
  </si>
  <si>
    <t>Unit</t>
  </si>
  <si>
    <t>Beds</t>
  </si>
  <si>
    <t>Avg Occupancy</t>
  </si>
  <si>
    <t>Nurse--to-Patient Ratio</t>
  </si>
  <si>
    <t>Agencey Hours %</t>
  </si>
  <si>
    <t>ED Visits/yr</t>
  </si>
  <si>
    <t>RN Hours/ED Visits</t>
  </si>
  <si>
    <t>Med - Surg</t>
  </si>
  <si>
    <t>ICU</t>
  </si>
  <si>
    <t>ED</t>
  </si>
  <si>
    <t>Selected Cenario Multipliers</t>
  </si>
  <si>
    <t>Wage multiplier</t>
  </si>
  <si>
    <t>Volume/Occupancy multiplier</t>
  </si>
  <si>
    <t>Staffing ratio multiplier</t>
  </si>
  <si>
    <t>Agency % multiplier</t>
  </si>
  <si>
    <t>Turnover multiplier</t>
  </si>
  <si>
    <t>Baseline Inputs</t>
  </si>
  <si>
    <t>Operationa Drivers</t>
  </si>
  <si>
    <t>Nurse-To-Patient Ratio</t>
  </si>
  <si>
    <t>Agency Hours %</t>
  </si>
  <si>
    <t>Core RN FTEs</t>
  </si>
  <si>
    <t>Patient Days/Yr</t>
  </si>
  <si>
    <t>RN Hours/Patient Day (HPPD)</t>
  </si>
  <si>
    <t>Required RN Hours/yr</t>
  </si>
  <si>
    <t>Hours Mix (Regular vs OT vs Agency)</t>
  </si>
  <si>
    <t>Productive Hours/FTE</t>
  </si>
  <si>
    <t>Avilable Regular Hours</t>
  </si>
  <si>
    <t>Agencey Hours</t>
  </si>
  <si>
    <t>Core Hours  (non-agency)</t>
  </si>
  <si>
    <t>Regulare Hours (Covered by CORE FTE)</t>
  </si>
  <si>
    <t>OT Hours</t>
  </si>
  <si>
    <t>OT % of Total Hours</t>
  </si>
  <si>
    <t>Agencey % of Total Hours</t>
  </si>
  <si>
    <t>Cost Calculations</t>
  </si>
  <si>
    <t>Base Hourly Wage</t>
  </si>
  <si>
    <t>OT Hourly Wage</t>
  </si>
  <si>
    <t>Agencey Hourly Rate</t>
  </si>
  <si>
    <t>Differential Add-On %</t>
  </si>
  <si>
    <t>Benefits %</t>
  </si>
  <si>
    <t>Regular Wage Cost</t>
  </si>
  <si>
    <t>OT  Wage Cost</t>
  </si>
  <si>
    <t>Agaencey Cost</t>
  </si>
  <si>
    <t>Total Wage Cost</t>
  </si>
  <si>
    <t>Total Labor Cost Incl Benefits</t>
  </si>
  <si>
    <t>Cost/Patient Day</t>
  </si>
  <si>
    <t>Turnover &amp; Vacancy Cost</t>
  </si>
  <si>
    <t>Effective Turnover Rate</t>
  </si>
  <si>
    <t>RN FTEs</t>
  </si>
  <si>
    <t>Annual FTE Turnver</t>
  </si>
  <si>
    <t>Replacement Cost/RN</t>
  </si>
  <si>
    <t>Turnover Cost</t>
  </si>
  <si>
    <t>Vacancy Hours to cover</t>
  </si>
  <si>
    <t>Vacancy Coverage by Agency</t>
  </si>
  <si>
    <t>Vacancy Coverage by OT</t>
  </si>
  <si>
    <t>Vacancy Cost (Agencey)</t>
  </si>
  <si>
    <t>Vacancy Cost (OT)</t>
  </si>
  <si>
    <t>Total Turnover + Vacancy Cost</t>
  </si>
  <si>
    <t>Outputs</t>
  </si>
  <si>
    <t>Total Labor Cost (Incl Benefits)</t>
  </si>
  <si>
    <t>OT%</t>
  </si>
  <si>
    <t>Agency %</t>
  </si>
  <si>
    <t>Total Cost Incl Turnover</t>
  </si>
  <si>
    <t>Unit Service Volume</t>
  </si>
  <si>
    <t>Cost/Service Unit</t>
  </si>
  <si>
    <t>Ed Visits/yr</t>
  </si>
  <si>
    <t>RN Hours/ED Visit</t>
  </si>
  <si>
    <t>Cost/ED Visit</t>
  </si>
  <si>
    <t>Total Labor Cost</t>
  </si>
  <si>
    <t>Turnover &amp; Vacancy</t>
  </si>
  <si>
    <t>Service Volume</t>
  </si>
  <si>
    <t>Cost/Unit</t>
  </si>
  <si>
    <t>Med-Surg</t>
  </si>
  <si>
    <t>Total</t>
  </si>
  <si>
    <t>Notes</t>
  </si>
  <si>
    <t>Beds occ or ED visits</t>
  </si>
  <si>
    <t>Higher = fewer nurses per patient (worse)</t>
  </si>
  <si>
    <t>Lower = less agency</t>
  </si>
  <si>
    <t>Lower = better retention</t>
  </si>
  <si>
    <t>RN FTEs (Core)</t>
  </si>
  <si>
    <t>Baseline</t>
  </si>
  <si>
    <t>Cost Control</t>
  </si>
  <si>
    <t>Quality Investment</t>
  </si>
  <si>
    <t>Stress Case</t>
  </si>
  <si>
    <t>Secnarios &amp; Inputs</t>
  </si>
  <si>
    <t>Content</t>
  </si>
  <si>
    <t>Output - Rollup</t>
  </si>
  <si>
    <t>Inputs &amp; Scenarios</t>
  </si>
  <si>
    <r>
      <t xml:space="preserve">Hospital Nursing Labor Cost &amp; Staffing Optimization Model
</t>
    </r>
    <r>
      <rPr>
        <sz val="14"/>
        <color theme="2" tint="-9.9978637043366805E-2"/>
        <rFont val="Arial"/>
        <family val="2"/>
      </rPr>
      <t>Overtime, Agency Dependency, Turnover Cost &amp; Scenario-Based Budgeting</t>
    </r>
  </si>
  <si>
    <t>Scenario/Metric</t>
  </si>
  <si>
    <t>Applies to base</t>
  </si>
  <si>
    <t>Mutli-Unit Nursing Salary Model</t>
  </si>
  <si>
    <t>Med - Surg Unit</t>
  </si>
  <si>
    <t>ICU Unit</t>
  </si>
  <si>
    <t>ED Unit</t>
  </si>
  <si>
    <t>Model</t>
  </si>
  <si>
    <t>Summary</t>
  </si>
  <si>
    <t>Agency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</si>
</sst>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_);_(&quot;$&quot;* \(#,##0.0\);_(&quot;$&quot;* &quot;-&quot;??_);_(@_)"/>
    <numFmt numFmtId="166" formatCode="_(&quot;$&quot;* #,##0_);_(&quot;$&quot;* \(#,##0\);_(&quot;$&quot;* &quot;-&quot;??_);_(@_)"/>
    <numFmt numFmtId="167" formatCode="_(&quot;$&quot;* #,##0.0_);_(&quot;$&quot;* \(#,##0.0\);_(&quot;$&quot;* &quot;-&quot;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Aptos Narrow"/>
      <scheme val="minor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ptos Narrow"/>
      <scheme val="minor"/>
    </font>
    <font>
      <sz val="12"/>
      <color rgb="FF1449FF"/>
      <name val="Arial"/>
      <family val="2"/>
    </font>
    <font>
      <sz val="12"/>
      <color rgb="FF4FAA2D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rial"/>
      <family val="2"/>
    </font>
    <font>
      <sz val="14"/>
      <color theme="2" tint="-9.9978637043366805E-2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0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2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</cellStyleXfs>
  <cellXfs count="1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15" fillId="0" borderId="0" xfId="5" applyFont="1"/>
    <xf numFmtId="0" fontId="15" fillId="0" borderId="3" xfId="5" applyFont="1" applyBorder="1"/>
    <xf numFmtId="0" fontId="12" fillId="0" borderId="0" xfId="5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164" fontId="8" fillId="4" borderId="0" xfId="1" applyNumberFormat="1" applyFont="1" applyFill="1" applyAlignment="1">
      <alignment horizontal="center" vertical="center"/>
    </xf>
    <xf numFmtId="9" fontId="8" fillId="4" borderId="0" xfId="0" applyNumberFormat="1" applyFont="1" applyFill="1"/>
    <xf numFmtId="166" fontId="8" fillId="4" borderId="0" xfId="2" applyNumberFormat="1" applyFont="1" applyFill="1"/>
    <xf numFmtId="0" fontId="8" fillId="4" borderId="0" xfId="0" applyFont="1" applyFill="1"/>
    <xf numFmtId="0" fontId="0" fillId="4" borderId="0" xfId="0" applyFill="1" applyAlignment="1">
      <alignment horizontal="center" vertical="center" wrapText="1"/>
    </xf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0" fontId="2" fillId="5" borderId="0" xfId="0" applyFont="1" applyFill="1"/>
    <xf numFmtId="0" fontId="4" fillId="5" borderId="0" xfId="0" applyFont="1" applyFill="1" applyAlignment="1">
      <alignment horizontal="center" vertical="center"/>
    </xf>
    <xf numFmtId="0" fontId="20" fillId="0" borderId="0" xfId="0" applyFont="1"/>
    <xf numFmtId="0" fontId="13" fillId="5" borderId="1" xfId="5" applyFont="1" applyFill="1" applyBorder="1" applyAlignment="1">
      <alignment horizontal="left" vertical="center" wrapText="1" indent="12"/>
    </xf>
    <xf numFmtId="0" fontId="13" fillId="5" borderId="2" xfId="5" applyFont="1" applyFill="1" applyBorder="1" applyAlignment="1">
      <alignment horizontal="left" vertical="center" indent="12"/>
    </xf>
    <xf numFmtId="0" fontId="13" fillId="5" borderId="3" xfId="5" applyFont="1" applyFill="1" applyBorder="1" applyAlignment="1">
      <alignment horizontal="left" vertical="center" indent="12"/>
    </xf>
    <xf numFmtId="0" fontId="13" fillId="5" borderId="4" xfId="5" applyFont="1" applyFill="1" applyBorder="1" applyAlignment="1">
      <alignment horizontal="left" vertical="center" indent="12"/>
    </xf>
    <xf numFmtId="0" fontId="13" fillId="5" borderId="5" xfId="5" applyFont="1" applyFill="1" applyBorder="1" applyAlignment="1">
      <alignment horizontal="left" vertical="center" indent="12"/>
    </xf>
    <xf numFmtId="0" fontId="15" fillId="5" borderId="1" xfId="5" applyFont="1" applyFill="1" applyBorder="1" applyAlignment="1">
      <alignment horizontal="center"/>
    </xf>
    <xf numFmtId="0" fontId="15" fillId="5" borderId="2" xfId="5" applyFont="1" applyFill="1" applyBorder="1" applyAlignment="1">
      <alignment horizontal="center"/>
    </xf>
    <xf numFmtId="0" fontId="15" fillId="5" borderId="3" xfId="5" applyFont="1" applyFill="1" applyBorder="1" applyAlignment="1">
      <alignment horizontal="center"/>
    </xf>
    <xf numFmtId="0" fontId="15" fillId="5" borderId="4" xfId="5" applyFont="1" applyFill="1" applyBorder="1" applyAlignment="1">
      <alignment horizontal="center"/>
    </xf>
    <xf numFmtId="0" fontId="15" fillId="5" borderId="5" xfId="5" applyFont="1" applyFill="1" applyBorder="1" applyAlignment="1">
      <alignment horizontal="center"/>
    </xf>
    <xf numFmtId="0" fontId="6" fillId="5" borderId="0" xfId="0" applyFont="1" applyFill="1" applyAlignment="1">
      <alignment horizontal="left" vertical="center" indent="2"/>
    </xf>
    <xf numFmtId="166" fontId="2" fillId="4" borderId="0" xfId="2" applyNumberFormat="1" applyFont="1" applyFill="1" applyBorder="1" applyAlignment="1">
      <alignment horizontal="center" vertical="center"/>
    </xf>
    <xf numFmtId="9" fontId="2" fillId="4" borderId="0" xfId="3" applyFont="1" applyFill="1" applyBorder="1" applyAlignment="1">
      <alignment horizontal="center" vertical="center"/>
    </xf>
    <xf numFmtId="166" fontId="2" fillId="4" borderId="0" xfId="0" applyNumberFormat="1" applyFont="1" applyFill="1" applyBorder="1" applyAlignment="1">
      <alignment horizontal="center" vertical="center"/>
    </xf>
    <xf numFmtId="164" fontId="2" fillId="4" borderId="0" xfId="1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6" fontId="2" fillId="4" borderId="7" xfId="2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66" fontId="10" fillId="4" borderId="9" xfId="0" applyNumberFormat="1" applyFont="1" applyFill="1" applyBorder="1" applyAlignment="1">
      <alignment horizontal="center" vertical="center"/>
    </xf>
    <xf numFmtId="164" fontId="10" fillId="4" borderId="9" xfId="0" applyNumberFormat="1" applyFont="1" applyFill="1" applyBorder="1" applyAlignment="1">
      <alignment horizontal="center" vertical="center"/>
    </xf>
    <xf numFmtId="0" fontId="15" fillId="7" borderId="3" xfId="5" applyFont="1" applyFill="1" applyBorder="1"/>
    <xf numFmtId="0" fontId="2" fillId="7" borderId="3" xfId="5" applyFont="1" applyFill="1" applyBorder="1"/>
    <xf numFmtId="0" fontId="11" fillId="7" borderId="0" xfId="4" applyFill="1" applyBorder="1" applyProtection="1"/>
    <xf numFmtId="0" fontId="18" fillId="7" borderId="0" xfId="4" applyFont="1" applyFill="1" applyBorder="1" applyProtection="1"/>
    <xf numFmtId="0" fontId="13" fillId="5" borderId="6" xfId="5" applyFont="1" applyFill="1" applyBorder="1" applyAlignment="1">
      <alignment horizontal="left" vertical="center" indent="12"/>
    </xf>
    <xf numFmtId="0" fontId="13" fillId="5" borderId="0" xfId="5" applyFont="1" applyFill="1" applyBorder="1" applyAlignment="1">
      <alignment horizontal="left" vertical="center" indent="12"/>
    </xf>
    <xf numFmtId="0" fontId="13" fillId="5" borderId="7" xfId="5" applyFont="1" applyFill="1" applyBorder="1" applyAlignment="1">
      <alignment horizontal="left" vertical="center" indent="12"/>
    </xf>
    <xf numFmtId="0" fontId="13" fillId="5" borderId="8" xfId="5" applyFont="1" applyFill="1" applyBorder="1" applyAlignment="1">
      <alignment horizontal="left" vertical="center" indent="12"/>
    </xf>
    <xf numFmtId="0" fontId="15" fillId="0" borderId="0" xfId="5" applyFont="1" applyBorder="1"/>
    <xf numFmtId="0" fontId="15" fillId="0" borderId="7" xfId="5" applyFont="1" applyBorder="1"/>
    <xf numFmtId="0" fontId="15" fillId="5" borderId="6" xfId="5" applyFont="1" applyFill="1" applyBorder="1" applyAlignment="1">
      <alignment horizontal="center"/>
    </xf>
    <xf numFmtId="0" fontId="15" fillId="5" borderId="0" xfId="5" applyFont="1" applyFill="1" applyBorder="1" applyAlignment="1">
      <alignment horizontal="center"/>
    </xf>
    <xf numFmtId="0" fontId="15" fillId="5" borderId="7" xfId="5" applyFont="1" applyFill="1" applyBorder="1" applyAlignment="1">
      <alignment horizontal="center"/>
    </xf>
    <xf numFmtId="0" fontId="15" fillId="5" borderId="8" xfId="5" applyFont="1" applyFill="1" applyBorder="1" applyAlignment="1">
      <alignment horizontal="center"/>
    </xf>
    <xf numFmtId="0" fontId="15" fillId="7" borderId="0" xfId="5" applyFont="1" applyFill="1" applyBorder="1"/>
    <xf numFmtId="0" fontId="15" fillId="7" borderId="7" xfId="5" applyFont="1" applyFill="1" applyBorder="1"/>
    <xf numFmtId="0" fontId="16" fillId="7" borderId="0" xfId="5" applyFont="1" applyFill="1" applyBorder="1"/>
    <xf numFmtId="0" fontId="17" fillId="7" borderId="0" xfId="5" applyFont="1" applyFill="1" applyBorder="1"/>
    <xf numFmtId="0" fontId="2" fillId="7" borderId="0" xfId="5" applyFont="1" applyFill="1" applyBorder="1"/>
    <xf numFmtId="0" fontId="0" fillId="7" borderId="0" xfId="0" applyFill="1" applyBorder="1"/>
    <xf numFmtId="0" fontId="18" fillId="7" borderId="0" xfId="4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7" xfId="0" applyFont="1" applyBorder="1"/>
    <xf numFmtId="0" fontId="3" fillId="5" borderId="3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4" borderId="7" xfId="0" applyNumberFormat="1" applyFont="1" applyFill="1" applyBorder="1" applyAlignment="1">
      <alignment vertical="center"/>
    </xf>
    <xf numFmtId="164" fontId="2" fillId="4" borderId="7" xfId="0" applyNumberFormat="1" applyFont="1" applyFill="1" applyBorder="1" applyAlignment="1">
      <alignment vertical="center"/>
    </xf>
    <xf numFmtId="9" fontId="2" fillId="4" borderId="7" xfId="0" applyNumberFormat="1" applyFont="1" applyFill="1" applyBorder="1" applyAlignment="1">
      <alignment vertical="center"/>
    </xf>
    <xf numFmtId="0" fontId="2" fillId="4" borderId="3" xfId="0" applyFont="1" applyFill="1" applyBorder="1"/>
    <xf numFmtId="166" fontId="2" fillId="4" borderId="7" xfId="2" applyNumberFormat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4" borderId="7" xfId="1" applyNumberFormat="1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4" fontId="2" fillId="4" borderId="7" xfId="1" applyNumberFormat="1" applyFont="1" applyFill="1" applyBorder="1"/>
    <xf numFmtId="9" fontId="2" fillId="4" borderId="7" xfId="3" applyFont="1" applyFill="1" applyBorder="1" applyAlignment="1">
      <alignment vertical="center"/>
    </xf>
    <xf numFmtId="165" fontId="2" fillId="4" borderId="7" xfId="2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66" fontId="2" fillId="4" borderId="8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3" borderId="3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/>
    <xf numFmtId="44" fontId="2" fillId="4" borderId="7" xfId="2" applyFont="1" applyFill="1" applyBorder="1" applyAlignment="1">
      <alignment vertical="center"/>
    </xf>
    <xf numFmtId="0" fontId="3" fillId="5" borderId="3" xfId="0" applyFont="1" applyFill="1" applyBorder="1"/>
    <xf numFmtId="0" fontId="3" fillId="5" borderId="7" xfId="0" applyFont="1" applyFill="1" applyBorder="1"/>
    <xf numFmtId="166" fontId="2" fillId="4" borderId="7" xfId="0" applyNumberFormat="1" applyFont="1" applyFill="1" applyBorder="1"/>
    <xf numFmtId="164" fontId="2" fillId="4" borderId="7" xfId="0" applyNumberFormat="1" applyFont="1" applyFill="1" applyBorder="1"/>
    <xf numFmtId="9" fontId="2" fillId="4" borderId="7" xfId="0" applyNumberFormat="1" applyFont="1" applyFill="1" applyBorder="1"/>
    <xf numFmtId="166" fontId="2" fillId="4" borderId="7" xfId="2" applyNumberFormat="1" applyFont="1" applyFill="1" applyBorder="1"/>
    <xf numFmtId="1" fontId="2" fillId="4" borderId="7" xfId="0" applyNumberFormat="1" applyFont="1" applyFill="1" applyBorder="1"/>
    <xf numFmtId="9" fontId="2" fillId="4" borderId="7" xfId="3" applyNumberFormat="1" applyFont="1" applyFill="1" applyBorder="1"/>
    <xf numFmtId="9" fontId="2" fillId="4" borderId="7" xfId="3" applyFont="1" applyFill="1" applyBorder="1"/>
    <xf numFmtId="165" fontId="2" fillId="4" borderId="7" xfId="2" applyNumberFormat="1" applyFont="1" applyFill="1" applyBorder="1"/>
    <xf numFmtId="44" fontId="2" fillId="4" borderId="7" xfId="2" applyFont="1" applyFill="1" applyBorder="1"/>
    <xf numFmtId="167" fontId="2" fillId="4" borderId="7" xfId="0" applyNumberFormat="1" applyFont="1" applyFill="1" applyBorder="1"/>
    <xf numFmtId="0" fontId="2" fillId="4" borderId="4" xfId="0" applyFont="1" applyFill="1" applyBorder="1"/>
    <xf numFmtId="44" fontId="2" fillId="4" borderId="8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 2" xfId="5" xr:uid="{18401FEC-0A7B-FF49-950D-E6B802B49E17}"/>
    <cellStyle name="Percent" xfId="3" builtinId="5"/>
  </cellStyles>
  <dxfs count="0"/>
  <tableStyles count="0" defaultTableStyle="TableStyleMedium2" defaultPivotStyle="PivotStyleLight16"/>
  <colors>
    <mruColors>
      <color rgb="FF1449FF"/>
      <color rgb="FF4FAA2D"/>
      <color rgb="FF58B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Nursing Labor Cost Breakdown by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'Output - Rollup'!$C$6</c:f>
              <c:strCache>
                <c:ptCount val="1"/>
                <c:pt idx="0">
                  <c:v>Total Labor Cost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75000"/>
                    <a:lumOff val="25000"/>
                    <a:shade val="30000"/>
                    <a:satMod val="115000"/>
                  </a:schemeClr>
                </a:gs>
                <a:gs pos="50000">
                  <a:schemeClr val="tx2">
                    <a:lumMod val="75000"/>
                    <a:lumOff val="25000"/>
                    <a:shade val="67500"/>
                    <a:satMod val="115000"/>
                  </a:schemeClr>
                </a:gs>
                <a:gs pos="100000">
                  <a:schemeClr val="tx2">
                    <a:lumMod val="75000"/>
                    <a:lumOff val="25000"/>
                    <a:shade val="100000"/>
                    <a:satMod val="11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- Rollup'!$B$7:$B$9</c:f>
              <c:strCache>
                <c:ptCount val="3"/>
                <c:pt idx="0">
                  <c:v>Med-Surg</c:v>
                </c:pt>
                <c:pt idx="1">
                  <c:v>ICU</c:v>
                </c:pt>
                <c:pt idx="2">
                  <c:v>ED</c:v>
                </c:pt>
              </c:strCache>
            </c:strRef>
          </c:cat>
          <c:val>
            <c:numRef>
              <c:f>'Output - Rollup'!$C$7:$C$9</c:f>
              <c:numCache>
                <c:formatCode>_("$"* #,##0_);_("$"* \(#,##0\);_("$"* "-"??_);_(@_)</c:formatCode>
                <c:ptCount val="3"/>
                <c:pt idx="0">
                  <c:v>10226178.720000001</c:v>
                </c:pt>
                <c:pt idx="1">
                  <c:v>8202735.3375000004</c:v>
                </c:pt>
                <c:pt idx="2">
                  <c:v>3889091.2500000005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7-4A46-B808-799462B81112}"/>
            </c:ext>
          </c:extLst>
        </c:ser>
        <c:ser>
          <c:idx val="1"/>
          <c:order val="1"/>
          <c:tx>
            <c:strRef>
              <c:f>'Output - Rollup'!$D$6</c:f>
              <c:strCache>
                <c:ptCount val="1"/>
                <c:pt idx="0">
                  <c:v>Agency Cost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- Rollup'!$B$7:$B$9</c:f>
              <c:strCache>
                <c:ptCount val="3"/>
                <c:pt idx="0">
                  <c:v>Med-Surg</c:v>
                </c:pt>
                <c:pt idx="1">
                  <c:v>ICU</c:v>
                </c:pt>
                <c:pt idx="2">
                  <c:v>ED</c:v>
                </c:pt>
              </c:strCache>
            </c:strRef>
          </c:cat>
          <c:val>
            <c:numRef>
              <c:f>'Output - Rollup'!$D$7:$D$9</c:f>
              <c:numCache>
                <c:formatCode>_("$"* #,##0_);_("$"* \(#,##0\);_("$"* "-"??_);_(@_)</c:formatCode>
                <c:ptCount val="3"/>
                <c:pt idx="0">
                  <c:v>1702943.9999999998</c:v>
                </c:pt>
                <c:pt idx="1">
                  <c:v>1685205</c:v>
                </c:pt>
                <c:pt idx="2">
                  <c:v>544500.00000000012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7-4A46-B808-799462B81112}"/>
            </c:ext>
          </c:extLst>
        </c:ser>
        <c:ser>
          <c:idx val="2"/>
          <c:order val="2"/>
          <c:tx>
            <c:strRef>
              <c:f>'Output - Rollup'!$G$6</c:f>
              <c:strCache>
                <c:ptCount val="1"/>
                <c:pt idx="0">
                  <c:v>Turnover &amp; Vacancy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7000"/>
                  </a:schemeClr>
                </a:gs>
                <a:gs pos="48000">
                  <a:schemeClr val="accent3">
                    <a:lumMod val="97000"/>
                    <a:lumOff val="3000"/>
                  </a:schemeClr>
                </a:gs>
                <a:gs pos="100000">
                  <a:schemeClr val="accent3">
                    <a:lumMod val="60000"/>
                    <a:lumOff val="40000"/>
                  </a:schemeClr>
                </a:gs>
              </a:gsLst>
              <a:lin ang="135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14433329755456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57-4A46-B808-799462B81112}"/>
                </c:ext>
              </c:extLst>
            </c:dLbl>
            <c:dLbl>
              <c:idx val="1"/>
              <c:layout>
                <c:manualLayout>
                  <c:x val="-7.651059157737459E-17"/>
                  <c:y val="-4.45003233178961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57-4A46-B808-799462B81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- Rollup'!$B$7:$B$9</c:f>
              <c:strCache>
                <c:ptCount val="3"/>
                <c:pt idx="0">
                  <c:v>Med-Surg</c:v>
                </c:pt>
                <c:pt idx="1">
                  <c:v>ICU</c:v>
                </c:pt>
                <c:pt idx="2">
                  <c:v>ED</c:v>
                </c:pt>
              </c:strCache>
            </c:strRef>
          </c:cat>
          <c:val>
            <c:numRef>
              <c:f>'Output - Rollup'!$G$7:$G$9</c:f>
              <c:numCache>
                <c:formatCode>_("$"* #,##0_);_("$"* \(#,##0\);_("$"* "-"??_);_(@_)</c:formatCode>
                <c:ptCount val="3"/>
                <c:pt idx="0">
                  <c:v>511410</c:v>
                </c:pt>
                <c:pt idx="1">
                  <c:v>421410</c:v>
                </c:pt>
                <c:pt idx="2">
                  <c:v>211410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7-4A46-B808-799462B81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overlap val="100"/>
        <c:axId val="301798656"/>
        <c:axId val="301799552"/>
      </c:barChart>
      <c:catAx>
        <c:axId val="30179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99552"/>
        <c:crosses val="autoZero"/>
        <c:auto val="1"/>
        <c:lblAlgn val="ctr"/>
        <c:lblOffset val="100"/>
        <c:noMultiLvlLbl val="0"/>
      </c:catAx>
      <c:valAx>
        <c:axId val="3017995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986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Cost per Unit vs Service Volume by Unit</a:t>
            </a:r>
            <a:endPara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'Output - Rollup'!$J$6</c:f>
              <c:strCache>
                <c:ptCount val="1"/>
                <c:pt idx="0">
                  <c:v>Cost/Unit</c:v>
                </c:pt>
              </c:strCache>
            </c:strRef>
          </c:tx>
          <c:spPr>
            <a:gradFill flip="none" rotWithShape="1">
              <a:gsLst>
                <a:gs pos="0">
                  <a:schemeClr val="tx1">
                    <a:lumMod val="75000"/>
                    <a:lumOff val="25000"/>
                  </a:schemeClr>
                </a:gs>
                <a:gs pos="50000">
                  <a:schemeClr val="tx2">
                    <a:lumMod val="75000"/>
                    <a:lumOff val="25000"/>
                  </a:schemeClr>
                </a:gs>
                <a:gs pos="100000">
                  <a:schemeClr val="tx2">
                    <a:lumMod val="75000"/>
                    <a:lumOff val="25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- Rollup'!$B$7:$B$9</c:f>
              <c:strCache>
                <c:ptCount val="3"/>
                <c:pt idx="0">
                  <c:v>Med-Surg</c:v>
                </c:pt>
                <c:pt idx="1">
                  <c:v>ICU</c:v>
                </c:pt>
                <c:pt idx="2">
                  <c:v>ED</c:v>
                </c:pt>
              </c:strCache>
            </c:strRef>
          </c:cat>
          <c:val>
            <c:numRef>
              <c:f>'Output - Rollup'!$J$7:$J$9</c:f>
              <c:numCache>
                <c:formatCode>_("$"* #,##0_);_("$"* \(#,##0\);_("$"* "-"??_);_(@_)</c:formatCode>
                <c:ptCount val="3"/>
                <c:pt idx="0">
                  <c:v>389.12400000000002</c:v>
                </c:pt>
                <c:pt idx="1">
                  <c:v>788.53500000000008</c:v>
                </c:pt>
                <c:pt idx="2">
                  <c:v>70.710750000000004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2-4C48-8021-27D50289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301830080"/>
        <c:axId val="301840384"/>
      </c:barChart>
      <c:lineChart>
        <c:grouping val="standard"/>
        <c:varyColors val="0"/>
        <c:ser>
          <c:idx val="0"/>
          <c:order val="1"/>
          <c:tx>
            <c:strRef>
              <c:f>'Output - Rollup'!$I$6</c:f>
              <c:strCache>
                <c:ptCount val="1"/>
                <c:pt idx="0">
                  <c:v>Service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'Output - Rollup'!$B$7:$B$9</c:f>
              <c:strCache>
                <c:ptCount val="3"/>
                <c:pt idx="0">
                  <c:v>Med-Surg</c:v>
                </c:pt>
                <c:pt idx="1">
                  <c:v>ICU</c:v>
                </c:pt>
                <c:pt idx="2">
                  <c:v>ED</c:v>
                </c:pt>
              </c:strCache>
            </c:strRef>
          </c:cat>
          <c:val>
            <c:numRef>
              <c:f>'Output - Rollup'!$I$7:$I$9</c:f>
              <c:numCache>
                <c:formatCode>_(* #,##0_);_(* \(#,##0\);_(* "-"??_);_(@_)</c:formatCode>
                <c:ptCount val="3"/>
                <c:pt idx="0">
                  <c:v>26280</c:v>
                </c:pt>
                <c:pt idx="1">
                  <c:v>10402.5</c:v>
                </c:pt>
                <c:pt idx="2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2-4C48-8021-27D50289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160896"/>
        <c:axId val="297960320"/>
      </c:lineChart>
      <c:catAx>
        <c:axId val="30183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40384"/>
        <c:crosses val="autoZero"/>
        <c:auto val="1"/>
        <c:lblAlgn val="ctr"/>
        <c:lblOffset val="100"/>
        <c:noMultiLvlLbl val="0"/>
      </c:catAx>
      <c:valAx>
        <c:axId val="3018403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_);[Red]\(&quot;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30080"/>
        <c:crosses val="autoZero"/>
        <c:crossBetween val="between"/>
      </c:valAx>
      <c:valAx>
        <c:axId val="29796032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60896"/>
        <c:crosses val="max"/>
        <c:crossBetween val="between"/>
      </c:valAx>
      <c:catAx>
        <c:axId val="302160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7960320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5" fmlaLink="'Inputs &amp; Scenarios'!$C$7" fmlaRange="'Inputs &amp; Scenarios'!B$10:B$13" sel="1" val="0"/>
</file>

<file path=xl/ctrlProps/ctrlProp2.xml><?xml version="1.0" encoding="utf-8"?>
<formControlPr xmlns="http://schemas.microsoft.com/office/spreadsheetml/2009/9/main" objectType="Drop" dropStyle="combo" dx="15" fmlaLink="'Inputs &amp; Scenarios'!$C$7" fmlaRange="'Inputs &amp; Scenarios'!B$10:B$13" sel="1" val="0"/>
</file>

<file path=xl/ctrlProps/ctrlProp3.xml><?xml version="1.0" encoding="utf-8"?>
<formControlPr xmlns="http://schemas.microsoft.com/office/spreadsheetml/2009/9/main" objectType="Drop" dropStyle="combo" dx="15" fmlaLink="$C$7" fmlaRange="$B$10:$B$13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linkedin.com/in/alali794/" TargetMode="External"/><Relationship Id="rId1" Type="http://schemas.openxmlformats.org/officeDocument/2006/relationships/hyperlink" Target="https://github.com/abalali794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498929</xdr:colOff>
      <xdr:row>2</xdr:row>
      <xdr:rowOff>67733</xdr:rowOff>
    </xdr:from>
    <xdr:to>
      <xdr:col>14</xdr:col>
      <xdr:colOff>183320</xdr:colOff>
      <xdr:row>4</xdr:row>
      <xdr:rowOff>404192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FE5E7C-8CD3-0940-B8A6-542A810A68DF}"/>
            </a:ext>
          </a:extLst>
        </xdr:cNvPr>
        <xdr:cNvSpPr txBox="1"/>
      </xdr:nvSpPr>
      <xdr:spPr>
        <a:xfrm>
          <a:off x="8360229" y="245533"/>
          <a:ext cx="2986391" cy="692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Prepared by </a:t>
          </a:r>
          <a:r>
            <a:rPr lang="en-US" sz="12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Abdulrahman Alali</a:t>
          </a:r>
        </a:p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MHA</a:t>
          </a: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|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Saint Louis University</a:t>
          </a:r>
        </a:p>
        <a:p>
          <a:r>
            <a:rPr lang="en-US" sz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MS Finance 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| Johns Hopkins University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282518</xdr:colOff>
      <xdr:row>28</xdr:row>
      <xdr:rowOff>167551</xdr:rowOff>
    </xdr:from>
    <xdr:to>
      <xdr:col>8</xdr:col>
      <xdr:colOff>290286</xdr:colOff>
      <xdr:row>31</xdr:row>
      <xdr:rowOff>170224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B0669-CEBE-F24C-9003-903581F55223}"/>
            </a:ext>
          </a:extLst>
        </xdr:cNvPr>
        <xdr:cNvSpPr txBox="1"/>
      </xdr:nvSpPr>
      <xdr:spPr>
        <a:xfrm>
          <a:off x="4016318" y="5044351"/>
          <a:ext cx="2484268" cy="53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00" b="0" cap="none" spc="0">
              <a:ln w="0"/>
              <a:solidFill>
                <a:schemeClr val="bg2">
                  <a:lumMod val="9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https://github.com/abalali794</a:t>
          </a:r>
        </a:p>
      </xdr:txBody>
    </xdr:sp>
    <xdr:clientData/>
  </xdr:twoCellAnchor>
  <xdr:twoCellAnchor>
    <xdr:from>
      <xdr:col>2</xdr:col>
      <xdr:colOff>84667</xdr:colOff>
      <xdr:row>28</xdr:row>
      <xdr:rowOff>152403</xdr:rowOff>
    </xdr:from>
    <xdr:to>
      <xdr:col>4</xdr:col>
      <xdr:colOff>299357</xdr:colOff>
      <xdr:row>31</xdr:row>
      <xdr:rowOff>161760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2EC67A-4652-8F4F-A71C-09C48B38AA7A}"/>
            </a:ext>
          </a:extLst>
        </xdr:cNvPr>
        <xdr:cNvSpPr txBox="1"/>
      </xdr:nvSpPr>
      <xdr:spPr>
        <a:xfrm>
          <a:off x="313267" y="5029203"/>
          <a:ext cx="2894390" cy="542757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50" b="0" cap="none" spc="0">
              <a:ln w="0">
                <a:noFill/>
              </a:ln>
              <a:solidFill>
                <a:schemeClr val="bg2">
                  <a:lumMod val="9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https://www.linkedin.com/in/alali794/</a:t>
          </a:r>
        </a:p>
      </xdr:txBody>
    </xdr:sp>
    <xdr:clientData/>
  </xdr:twoCellAnchor>
  <xdr:twoCellAnchor editAs="oneCell">
    <xdr:from>
      <xdr:col>1</xdr:col>
      <xdr:colOff>201335</xdr:colOff>
      <xdr:row>28</xdr:row>
      <xdr:rowOff>114969</xdr:rowOff>
    </xdr:from>
    <xdr:to>
      <xdr:col>2</xdr:col>
      <xdr:colOff>594447</xdr:colOff>
      <xdr:row>31</xdr:row>
      <xdr:rowOff>197549</xdr:rowOff>
    </xdr:to>
    <xdr:pic>
      <xdr:nvPicPr>
        <xdr:cNvPr id="5" name="Picture 4" descr="Linkedin Icons - Free Download in SVG, PNG">
          <a:extLst>
            <a:ext uri="{FF2B5EF4-FFF2-40B4-BE49-F238E27FC236}">
              <a16:creationId xmlns:a16="http://schemas.microsoft.com/office/drawing/2014/main" id="{D630E879-A3A5-7B44-87EB-2C9DAF5A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35" y="4991769"/>
          <a:ext cx="621712" cy="615979"/>
        </a:xfrm>
        <a:prstGeom prst="rect">
          <a:avLst/>
        </a:prstGeom>
        <a:noFill/>
        <a:ln>
          <a:noFill/>
        </a:ln>
        <a:effectLst>
          <a:glow rad="123250">
            <a:schemeClr val="bg1">
              <a:alpha val="30197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153214</xdr:colOff>
      <xdr:row>28</xdr:row>
      <xdr:rowOff>115440</xdr:rowOff>
    </xdr:from>
    <xdr:to>
      <xdr:col>5</xdr:col>
      <xdr:colOff>793575</xdr:colOff>
      <xdr:row>31</xdr:row>
      <xdr:rowOff>211667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004F12-7579-1E4F-931F-1558F5510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7014" y="4992240"/>
          <a:ext cx="640361" cy="629626"/>
        </a:xfrm>
        <a:prstGeom prst="rect">
          <a:avLst/>
        </a:prstGeom>
        <a:ln>
          <a:noFill/>
        </a:ln>
        <a:effectLst>
          <a:glow rad="123250">
            <a:schemeClr val="bg1">
              <a:alpha val="30197"/>
            </a:schemeClr>
          </a:glow>
        </a:effectLst>
      </xdr:spPr>
    </xdr:pic>
    <xdr:clientData/>
  </xdr:twoCellAnchor>
  <xdr:twoCellAnchor>
    <xdr:from>
      <xdr:col>11</xdr:col>
      <xdr:colOff>762000</xdr:colOff>
      <xdr:row>29</xdr:row>
      <xdr:rowOff>126999</xdr:rowOff>
    </xdr:from>
    <xdr:to>
      <xdr:col>14</xdr:col>
      <xdr:colOff>448734</xdr:colOff>
      <xdr:row>31</xdr:row>
      <xdr:rowOff>84666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00314C-4FC4-1B4B-BF92-F8C3DE31763A}"/>
            </a:ext>
          </a:extLst>
        </xdr:cNvPr>
        <xdr:cNvSpPr txBox="1"/>
      </xdr:nvSpPr>
      <xdr:spPr>
        <a:xfrm>
          <a:off x="9448800" y="5181599"/>
          <a:ext cx="2163234" cy="313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v1.0 | Last Updated: 09/2/2026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161529</xdr:colOff>
      <xdr:row>2</xdr:row>
      <xdr:rowOff>54429</xdr:rowOff>
    </xdr:from>
    <xdr:to>
      <xdr:col>2</xdr:col>
      <xdr:colOff>500084</xdr:colOff>
      <xdr:row>4</xdr:row>
      <xdr:rowOff>226784</xdr:rowOff>
    </xdr:to>
    <xdr:pic>
      <xdr:nvPicPr>
        <xdr:cNvPr id="8" name="Picture 7" descr="Hospital - Free business icons">
          <a:extLst>
            <a:ext uri="{FF2B5EF4-FFF2-40B4-BE49-F238E27FC236}">
              <a16:creationId xmlns:a16="http://schemas.microsoft.com/office/drawing/2014/main" id="{0400899C-50EE-A247-8F0D-878F2615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29" y="232229"/>
          <a:ext cx="567155" cy="527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334108</xdr:colOff>
          <xdr:row>6</xdr:row>
          <xdr:rowOff>25400</xdr:rowOff>
        </xdr:from>
        <xdr:to>
          <xdr:col>12</xdr:col>
          <xdr:colOff>1695939</xdr:colOff>
          <xdr:row>6</xdr:row>
          <xdr:rowOff>266700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48843</xdr:colOff>
      <xdr:row>13</xdr:row>
      <xdr:rowOff>146534</xdr:rowOff>
    </xdr:from>
    <xdr:to>
      <xdr:col>7</xdr:col>
      <xdr:colOff>95536</xdr:colOff>
      <xdr:row>35</xdr:row>
      <xdr:rowOff>22269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C43D0-DF03-57B6-16BB-8E451D35343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400517</xdr:colOff>
      <xdr:row>13</xdr:row>
      <xdr:rowOff>166077</xdr:rowOff>
    </xdr:from>
    <xdr:to>
      <xdr:col>13</xdr:col>
      <xdr:colOff>15155</xdr:colOff>
      <xdr:row>35</xdr:row>
      <xdr:rowOff>41812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A206B1-3267-75B6-667F-EF481DFE71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2847257</xdr:colOff>
          <xdr:row>6</xdr:row>
          <xdr:rowOff>20484</xdr:rowOff>
        </xdr:from>
        <xdr:to>
          <xdr:col>6</xdr:col>
          <xdr:colOff>1290482</xdr:colOff>
          <xdr:row>6</xdr:row>
          <xdr:rowOff>288231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2692400</xdr:colOff>
          <xdr:row>6</xdr:row>
          <xdr:rowOff>25400</xdr:rowOff>
        </xdr:from>
        <xdr:to>
          <xdr:col>2</xdr:col>
          <xdr:colOff>965200</xdr:colOff>
          <xdr:row>6</xdr:row>
          <xdr:rowOff>292100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0F30-41DC-4B4D-A802-92ED22504CDC}">
  <dimension ref="B1:N37"/>
  <sheetViews>
    <sheetView showGridLines="0" zoomScale="130" zoomScaleNormal="130" workbookViewId="0">
      <selection activeCell="F45" sqref="F45"/>
    </sheetView>
  </sheetViews>
  <sheetFormatPr baseColWidth="10" defaultRowHeight="14" x14ac:dyDescent="0.15"/>
  <cols>
    <col min="1" max="1" width="2" style="8" customWidth="1"/>
    <col min="2" max="2" width="3" style="8" customWidth="1"/>
    <col min="3" max="3" width="24.33203125" style="8" customWidth="1"/>
    <col min="4" max="16384" width="10.83203125" style="8"/>
  </cols>
  <sheetData>
    <row r="1" spans="2:14" ht="7" customHeight="1" thickBot="1" x14ac:dyDescent="0.2"/>
    <row r="2" spans="2:14" x14ac:dyDescent="0.15">
      <c r="B2" s="26" t="s">
        <v>103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57"/>
    </row>
    <row r="3" spans="2:14" x14ac:dyDescent="0.15">
      <c r="B3" s="2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2:14" x14ac:dyDescent="0.15">
      <c r="B4" s="2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</row>
    <row r="5" spans="2:14" ht="35" customHeight="1" thickBot="1" x14ac:dyDescent="0.2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60"/>
    </row>
    <row r="6" spans="2:14" x14ac:dyDescent="0.15">
      <c r="B6" s="53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8"/>
    </row>
    <row r="7" spans="2:14" ht="20" x14ac:dyDescent="0.2">
      <c r="B7" s="53"/>
      <c r="C7" s="69" t="s">
        <v>100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</row>
    <row r="8" spans="2:14" ht="7" customHeight="1" x14ac:dyDescent="0.2">
      <c r="B8" s="53"/>
      <c r="C8" s="70"/>
      <c r="D8" s="67"/>
      <c r="E8" s="67"/>
      <c r="F8" s="67"/>
      <c r="G8" s="67"/>
      <c r="H8" s="67"/>
      <c r="I8" s="67"/>
      <c r="J8" s="67"/>
      <c r="K8" s="67"/>
      <c r="L8" s="67"/>
      <c r="M8" s="67"/>
      <c r="N8" s="68"/>
    </row>
    <row r="9" spans="2:14" ht="16" x14ac:dyDescent="0.2">
      <c r="B9" s="54"/>
      <c r="C9" s="55"/>
      <c r="D9" s="71"/>
      <c r="E9" s="67"/>
      <c r="F9" s="67"/>
      <c r="G9" s="67"/>
      <c r="H9" s="67"/>
      <c r="I9" s="67"/>
      <c r="J9" s="67"/>
      <c r="K9" s="67"/>
      <c r="L9" s="67"/>
      <c r="M9" s="67"/>
      <c r="N9" s="68"/>
    </row>
    <row r="10" spans="2:14" ht="16" x14ac:dyDescent="0.2">
      <c r="B10" s="54"/>
      <c r="C10" s="55" t="s">
        <v>101</v>
      </c>
      <c r="D10" s="71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2:14" ht="16" x14ac:dyDescent="0.2">
      <c r="B11" s="54"/>
      <c r="C11" s="55" t="s">
        <v>110</v>
      </c>
      <c r="D11" s="71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2:14" ht="16" x14ac:dyDescent="0.2">
      <c r="B12" s="54"/>
      <c r="C12" s="55" t="s">
        <v>102</v>
      </c>
      <c r="D12" s="71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2:14" ht="16" x14ac:dyDescent="0.2">
      <c r="B13" s="54"/>
      <c r="C13" s="56"/>
      <c r="D13" s="71"/>
      <c r="E13" s="67"/>
      <c r="F13" s="67"/>
      <c r="G13" s="67"/>
      <c r="H13" s="67"/>
      <c r="I13" s="67"/>
      <c r="J13" s="67"/>
      <c r="K13" s="67"/>
      <c r="L13" s="67"/>
      <c r="M13" s="67"/>
      <c r="N13" s="68"/>
    </row>
    <row r="14" spans="2:14" ht="16" x14ac:dyDescent="0.2">
      <c r="B14" s="54"/>
      <c r="C14" s="56"/>
      <c r="D14" s="71"/>
      <c r="E14" s="67"/>
      <c r="F14" s="67"/>
      <c r="G14" s="72"/>
      <c r="H14" s="67"/>
      <c r="I14" s="67"/>
      <c r="J14" s="67"/>
      <c r="K14" s="67"/>
      <c r="L14" s="67"/>
      <c r="M14" s="67"/>
      <c r="N14" s="68"/>
    </row>
    <row r="15" spans="2:14" ht="16" x14ac:dyDescent="0.2">
      <c r="B15" s="54"/>
      <c r="C15" s="56"/>
      <c r="D15" s="71"/>
      <c r="E15" s="67"/>
      <c r="F15" s="67"/>
      <c r="G15" s="67"/>
      <c r="H15" s="67"/>
      <c r="I15" s="67"/>
      <c r="J15" s="67"/>
      <c r="K15" s="67"/>
      <c r="L15" s="67"/>
      <c r="M15" s="67"/>
      <c r="N15" s="68"/>
    </row>
    <row r="16" spans="2:14" ht="16" x14ac:dyDescent="0.2">
      <c r="B16" s="54"/>
      <c r="C16" s="56"/>
      <c r="D16" s="71"/>
      <c r="E16" s="67"/>
      <c r="F16" s="67"/>
      <c r="G16" s="67"/>
      <c r="H16" s="67"/>
      <c r="I16" s="67"/>
      <c r="J16" s="67"/>
      <c r="K16" s="67"/>
      <c r="L16" s="67"/>
      <c r="M16" s="67"/>
      <c r="N16" s="68"/>
    </row>
    <row r="17" spans="2:14" ht="16" x14ac:dyDescent="0.2">
      <c r="B17" s="54"/>
      <c r="C17" s="73"/>
      <c r="D17" s="71"/>
      <c r="E17" s="67"/>
      <c r="F17" s="67"/>
      <c r="G17" s="67"/>
      <c r="H17" s="67"/>
      <c r="I17" s="67"/>
      <c r="J17" s="67"/>
      <c r="K17" s="67"/>
      <c r="L17" s="67"/>
      <c r="M17" s="67"/>
      <c r="N17" s="68"/>
    </row>
    <row r="18" spans="2:14" ht="16" x14ac:dyDescent="0.2">
      <c r="B18" s="54"/>
      <c r="C18" s="73"/>
      <c r="D18" s="71"/>
      <c r="E18" s="67"/>
      <c r="F18" s="67"/>
      <c r="G18" s="67"/>
      <c r="H18" s="67"/>
      <c r="I18" s="67"/>
      <c r="J18" s="67"/>
      <c r="K18" s="67"/>
      <c r="L18" s="67"/>
      <c r="M18" s="67"/>
      <c r="N18" s="68"/>
    </row>
    <row r="19" spans="2:14" ht="16" x14ac:dyDescent="0.2">
      <c r="B19" s="54"/>
      <c r="C19" s="71"/>
      <c r="D19" s="71"/>
      <c r="E19" s="67"/>
      <c r="F19" s="67"/>
      <c r="G19" s="67"/>
      <c r="H19" s="67"/>
      <c r="I19" s="67"/>
      <c r="J19" s="67"/>
      <c r="K19" s="67"/>
      <c r="L19" s="67"/>
      <c r="M19" s="67"/>
      <c r="N19" s="68"/>
    </row>
    <row r="20" spans="2:14" ht="16" x14ac:dyDescent="0.2">
      <c r="B20" s="54"/>
      <c r="C20" s="71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8"/>
    </row>
    <row r="21" spans="2:14" x14ac:dyDescent="0.15">
      <c r="B21" s="53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8"/>
    </row>
    <row r="22" spans="2:14" x14ac:dyDescent="0.15">
      <c r="B22" s="53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8"/>
    </row>
    <row r="23" spans="2:14" x14ac:dyDescent="0.15">
      <c r="B23" s="53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8"/>
    </row>
    <row r="24" spans="2:14" x14ac:dyDescent="0.15">
      <c r="B24" s="53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</row>
    <row r="25" spans="2:14" x14ac:dyDescent="0.15">
      <c r="B25" s="53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8"/>
    </row>
    <row r="26" spans="2:14" x14ac:dyDescent="0.15">
      <c r="B26" s="53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8"/>
    </row>
    <row r="27" spans="2:14" ht="1" customHeight="1" x14ac:dyDescent="0.15">
      <c r="B27" s="9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2"/>
    </row>
    <row r="28" spans="2:14" ht="1" customHeight="1" thickBot="1" x14ac:dyDescent="0.2">
      <c r="B28" s="9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2"/>
    </row>
    <row r="29" spans="2:14" x14ac:dyDescent="0.1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63"/>
    </row>
    <row r="30" spans="2:14" x14ac:dyDescent="0.15">
      <c r="B30" s="33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</row>
    <row r="31" spans="2:14" x14ac:dyDescent="0.15">
      <c r="B31" s="3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5"/>
    </row>
    <row r="32" spans="2:14" ht="27" customHeight="1" thickBot="1" x14ac:dyDescent="0.2">
      <c r="B32" s="3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66"/>
    </row>
    <row r="37" spans="3:3" ht="15" x14ac:dyDescent="0.2">
      <c r="C37" s="10"/>
    </row>
  </sheetData>
  <mergeCells count="2">
    <mergeCell ref="B2:N5"/>
    <mergeCell ref="B29:N32"/>
  </mergeCells>
  <hyperlinks>
    <hyperlink ref="C10" location="'Output - Rollup'!A1" display="Output - Rollup" xr:uid="{EA220CEF-3909-FA47-8271-54C479D80B2B}"/>
    <hyperlink ref="C11" location="Model!A1" display="Model" xr:uid="{036E67EB-7C44-074F-A8B6-6B1D28965EF1}"/>
    <hyperlink ref="C12" location="'Inputs &amp; Scenarios'!A1" display="Inputs &amp; Scenarios" xr:uid="{E80C7D59-96E2-384B-BE18-46C8156AD8C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8601-3C09-5141-9508-F810DD93292B}">
  <dimension ref="B1:M14"/>
  <sheetViews>
    <sheetView showGridLines="0" zoomScale="130" zoomScaleNormal="130" workbookViewId="0">
      <selection activeCell="D41" sqref="D41"/>
    </sheetView>
  </sheetViews>
  <sheetFormatPr baseColWidth="10" defaultRowHeight="16" x14ac:dyDescent="0.2"/>
  <cols>
    <col min="1" max="1" width="2.5" style="1" customWidth="1"/>
    <col min="2" max="2" width="12" style="1" customWidth="1"/>
    <col min="3" max="3" width="17.6640625" style="1" bestFit="1" customWidth="1"/>
    <col min="4" max="4" width="17.6640625" style="1" customWidth="1"/>
    <col min="5" max="5" width="11.5" style="1" customWidth="1"/>
    <col min="6" max="6" width="12.1640625" style="1" customWidth="1"/>
    <col min="7" max="7" width="22.5" style="1" customWidth="1"/>
    <col min="8" max="8" width="26" style="1" customWidth="1"/>
    <col min="9" max="9" width="17.5" style="1" customWidth="1"/>
    <col min="10" max="10" width="13.1640625" style="1" customWidth="1"/>
    <col min="11" max="11" width="5.1640625" style="1" customWidth="1"/>
    <col min="12" max="12" width="14.83203125" style="1" bestFit="1" customWidth="1"/>
    <col min="13" max="13" width="22.5" style="1" customWidth="1"/>
    <col min="14" max="16384" width="10.83203125" style="1"/>
  </cols>
  <sheetData>
    <row r="1" spans="2:13" ht="15" customHeight="1" x14ac:dyDescent="0.2"/>
    <row r="2" spans="2:13" ht="16" customHeight="1" x14ac:dyDescent="0.2">
      <c r="B2" s="36" t="s">
        <v>111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2:13" ht="11" customHeight="1" x14ac:dyDescent="0.2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2:13" ht="11" customHeight="1" x14ac:dyDescent="0.2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2:13" ht="17" thickBot="1" x14ac:dyDescent="0.25"/>
    <row r="6" spans="2:13" ht="21" customHeight="1" x14ac:dyDescent="0.2">
      <c r="B6" s="42" t="s">
        <v>16</v>
      </c>
      <c r="C6" s="43" t="s">
        <v>83</v>
      </c>
      <c r="D6" s="43" t="s">
        <v>112</v>
      </c>
      <c r="E6" s="43" t="s">
        <v>75</v>
      </c>
      <c r="F6" s="43" t="s">
        <v>76</v>
      </c>
      <c r="G6" s="43" t="s">
        <v>84</v>
      </c>
      <c r="H6" s="43" t="s">
        <v>77</v>
      </c>
      <c r="I6" s="43" t="s">
        <v>85</v>
      </c>
      <c r="J6" s="44" t="s">
        <v>86</v>
      </c>
      <c r="K6"/>
      <c r="L6" s="22" t="s">
        <v>0</v>
      </c>
      <c r="M6" s="23"/>
    </row>
    <row r="7" spans="2:13" ht="22" customHeight="1" x14ac:dyDescent="0.2">
      <c r="B7" s="45" t="s">
        <v>87</v>
      </c>
      <c r="C7" s="37">
        <f>Model!C13</f>
        <v>10226178.720000001</v>
      </c>
      <c r="D7" s="37">
        <f>Model!C16</f>
        <v>1702943.9999999998</v>
      </c>
      <c r="E7" s="38">
        <f>Model!C14</f>
        <v>0</v>
      </c>
      <c r="F7" s="38">
        <f>Model!C15</f>
        <v>0.12</v>
      </c>
      <c r="G7" s="39">
        <f>Model!C17</f>
        <v>511410</v>
      </c>
      <c r="H7" s="39">
        <f>Model!C18</f>
        <v>10737588.720000001</v>
      </c>
      <c r="I7" s="40">
        <f>Model!C19</f>
        <v>26280</v>
      </c>
      <c r="J7" s="46">
        <f>Model!C20</f>
        <v>389.12400000000002</v>
      </c>
      <c r="K7"/>
      <c r="L7" s="7" t="s">
        <v>1</v>
      </c>
      <c r="M7" s="5"/>
    </row>
    <row r="8" spans="2:13" x14ac:dyDescent="0.2">
      <c r="B8" s="45" t="s">
        <v>24</v>
      </c>
      <c r="C8" s="37">
        <f>Model!G13</f>
        <v>8202735.3375000004</v>
      </c>
      <c r="D8" s="37">
        <f>Model!G16</f>
        <v>1685205</v>
      </c>
      <c r="E8" s="38">
        <f>Model!G14</f>
        <v>0</v>
      </c>
      <c r="F8" s="38">
        <f>Model!G15</f>
        <v>0.15</v>
      </c>
      <c r="G8" s="39">
        <f>Model!G17</f>
        <v>421410</v>
      </c>
      <c r="H8" s="39">
        <f>Model!G18</f>
        <v>8624145.3375000004</v>
      </c>
      <c r="I8" s="40">
        <f>Model!G19</f>
        <v>10402.5</v>
      </c>
      <c r="J8" s="46">
        <f>Model!G20</f>
        <v>788.53500000000008</v>
      </c>
      <c r="K8"/>
    </row>
    <row r="9" spans="2:13" x14ac:dyDescent="0.2">
      <c r="B9" s="45" t="s">
        <v>25</v>
      </c>
      <c r="C9" s="37">
        <f>Model!K13</f>
        <v>3889091.2500000005</v>
      </c>
      <c r="D9" s="37">
        <f>Model!K16</f>
        <v>544500.00000000012</v>
      </c>
      <c r="E9" s="38">
        <f>Model!K14</f>
        <v>0</v>
      </c>
      <c r="F9" s="38">
        <f>Model!K15</f>
        <v>0.1</v>
      </c>
      <c r="G9" s="39">
        <f>Model!K17</f>
        <v>211410</v>
      </c>
      <c r="H9" s="39">
        <f>Model!K18</f>
        <v>4100501.2500000005</v>
      </c>
      <c r="I9" s="40">
        <f>Model!K19</f>
        <v>55000</v>
      </c>
      <c r="J9" s="46">
        <f>Model!K20</f>
        <v>70.710750000000004</v>
      </c>
      <c r="K9"/>
    </row>
    <row r="10" spans="2:13" x14ac:dyDescent="0.2">
      <c r="B10" s="45"/>
      <c r="C10" s="41"/>
      <c r="D10" s="41"/>
      <c r="E10" s="41"/>
      <c r="F10" s="41"/>
      <c r="G10" s="41"/>
      <c r="H10" s="41"/>
      <c r="I10" s="41"/>
      <c r="J10" s="47"/>
      <c r="K10"/>
    </row>
    <row r="11" spans="2:13" ht="17" thickBot="1" x14ac:dyDescent="0.25">
      <c r="B11" s="48" t="s">
        <v>88</v>
      </c>
      <c r="C11" s="51">
        <f>SUM(C7:C10)</f>
        <v>22318005.307500001</v>
      </c>
      <c r="D11" s="51">
        <f>SUM(D7:D10)</f>
        <v>3932649</v>
      </c>
      <c r="E11" s="49"/>
      <c r="F11" s="49"/>
      <c r="G11" s="51">
        <f>SUM(G7:G10)</f>
        <v>1144230</v>
      </c>
      <c r="H11" s="51">
        <f>SUM(H7:H10)</f>
        <v>23462235.307500001</v>
      </c>
      <c r="I11" s="52">
        <f>SUM(I7:I9)</f>
        <v>91682.5</v>
      </c>
      <c r="J11" s="50"/>
      <c r="K11"/>
    </row>
    <row r="12" spans="2:13" x14ac:dyDescent="0.2">
      <c r="K12"/>
    </row>
    <row r="13" spans="2:13" x14ac:dyDescent="0.2">
      <c r="K13"/>
    </row>
    <row r="14" spans="2:13" x14ac:dyDescent="0.2">
      <c r="K14"/>
    </row>
  </sheetData>
  <mergeCells count="1">
    <mergeCell ref="B2:M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Drop Down 2">
              <controlPr defaultSize="0" autoLine="0" autoPict="0">
                <anchor>
                  <from>
                    <xdr:col>12</xdr:col>
                    <xdr:colOff>330200</xdr:colOff>
                    <xdr:row>6</xdr:row>
                    <xdr:rowOff>25400</xdr:rowOff>
                  </from>
                  <to>
                    <xdr:col>12</xdr:col>
                    <xdr:colOff>1701800</xdr:colOff>
                    <xdr:row>6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04C8-D7AD-A842-B929-347AA4B6B1AB}">
  <dimension ref="B1:K89"/>
  <sheetViews>
    <sheetView showGridLines="0" tabSelected="1" zoomScale="90" zoomScaleNormal="90" workbookViewId="0">
      <selection activeCell="S9" sqref="S9"/>
    </sheetView>
  </sheetViews>
  <sheetFormatPr baseColWidth="10" defaultRowHeight="16" x14ac:dyDescent="0.2"/>
  <cols>
    <col min="1" max="1" width="6.33203125" style="1" customWidth="1"/>
    <col min="2" max="2" width="33.1640625" style="1" bestFit="1" customWidth="1"/>
    <col min="3" max="3" width="17" style="1" bestFit="1" customWidth="1"/>
    <col min="4" max="5" width="10.83203125" style="1"/>
    <col min="6" max="6" width="39.33203125" style="3" bestFit="1" customWidth="1"/>
    <col min="7" max="7" width="17.5" style="3" customWidth="1"/>
    <col min="8" max="9" width="10.83203125" style="1"/>
    <col min="10" max="10" width="40.5" style="3" customWidth="1"/>
    <col min="11" max="11" width="18.1640625" style="3" bestFit="1" customWidth="1"/>
    <col min="12" max="16384" width="10.83203125" style="1"/>
  </cols>
  <sheetData>
    <row r="1" spans="2:11" ht="17" thickBot="1" x14ac:dyDescent="0.25"/>
    <row r="2" spans="2:11" x14ac:dyDescent="0.2">
      <c r="B2" s="121" t="s">
        <v>106</v>
      </c>
      <c r="C2" s="122"/>
      <c r="D2" s="122"/>
      <c r="E2" s="122"/>
      <c r="F2" s="122"/>
      <c r="G2" s="122"/>
      <c r="H2" s="122"/>
      <c r="I2" s="122"/>
      <c r="J2" s="122"/>
      <c r="K2" s="123"/>
    </row>
    <row r="3" spans="2:11" x14ac:dyDescent="0.2">
      <c r="B3" s="124"/>
      <c r="C3" s="125"/>
      <c r="D3" s="125"/>
      <c r="E3" s="125"/>
      <c r="F3" s="125"/>
      <c r="G3" s="125"/>
      <c r="H3" s="125"/>
      <c r="I3" s="125"/>
      <c r="J3" s="125"/>
      <c r="K3" s="126"/>
    </row>
    <row r="4" spans="2:11" ht="17" thickBot="1" x14ac:dyDescent="0.25">
      <c r="B4" s="127"/>
      <c r="C4" s="128"/>
      <c r="D4" s="128"/>
      <c r="E4" s="128"/>
      <c r="F4" s="128"/>
      <c r="G4" s="128"/>
      <c r="H4" s="128"/>
      <c r="I4" s="128"/>
      <c r="J4" s="128"/>
      <c r="K4" s="129"/>
    </row>
    <row r="5" spans="2:11" ht="17" thickBot="1" x14ac:dyDescent="0.25"/>
    <row r="6" spans="2:11" ht="23" customHeight="1" x14ac:dyDescent="0.2">
      <c r="F6" s="117" t="s">
        <v>0</v>
      </c>
      <c r="G6" s="118"/>
    </row>
    <row r="7" spans="2:11" ht="24" customHeight="1" thickBot="1" x14ac:dyDescent="0.25">
      <c r="F7" s="119" t="s">
        <v>1</v>
      </c>
      <c r="G7" s="120"/>
    </row>
    <row r="8" spans="2:11" ht="17" thickBot="1" x14ac:dyDescent="0.25"/>
    <row r="9" spans="2:11" ht="20" x14ac:dyDescent="0.2">
      <c r="B9" s="74" t="s">
        <v>107</v>
      </c>
      <c r="C9" s="75"/>
      <c r="D9" s="25"/>
      <c r="E9" s="25"/>
      <c r="F9" s="74" t="s">
        <v>108</v>
      </c>
      <c r="G9" s="75"/>
      <c r="H9" s="25"/>
      <c r="I9" s="25"/>
      <c r="J9" s="74" t="s">
        <v>109</v>
      </c>
      <c r="K9" s="75"/>
    </row>
    <row r="10" spans="2:11" ht="20" x14ac:dyDescent="0.2">
      <c r="B10" s="76"/>
      <c r="C10" s="77"/>
      <c r="D10" s="25"/>
      <c r="E10" s="25"/>
      <c r="F10" s="76"/>
      <c r="G10" s="77"/>
      <c r="H10" s="25"/>
      <c r="I10" s="25"/>
      <c r="J10" s="76"/>
      <c r="K10" s="77"/>
    </row>
    <row r="11" spans="2:11" x14ac:dyDescent="0.2">
      <c r="B11" s="78"/>
      <c r="C11" s="79"/>
      <c r="F11" s="78"/>
      <c r="G11" s="79"/>
      <c r="J11" s="78"/>
      <c r="K11" s="79"/>
    </row>
    <row r="12" spans="2:11" x14ac:dyDescent="0.2">
      <c r="B12" s="103" t="s">
        <v>73</v>
      </c>
      <c r="C12" s="104"/>
      <c r="F12" s="80" t="s">
        <v>73</v>
      </c>
      <c r="G12" s="81"/>
      <c r="J12" s="80" t="s">
        <v>73</v>
      </c>
      <c r="K12" s="81"/>
    </row>
    <row r="13" spans="2:11" x14ac:dyDescent="0.2">
      <c r="B13" s="86" t="s">
        <v>74</v>
      </c>
      <c r="C13" s="105">
        <f>C63</f>
        <v>10226178.720000001</v>
      </c>
      <c r="F13" s="82" t="s">
        <v>74</v>
      </c>
      <c r="G13" s="83">
        <f>G63</f>
        <v>8202735.3375000004</v>
      </c>
      <c r="J13" s="82" t="s">
        <v>74</v>
      </c>
      <c r="K13" s="83">
        <f>K63</f>
        <v>3889091.2500000005</v>
      </c>
    </row>
    <row r="14" spans="2:11" x14ac:dyDescent="0.2">
      <c r="B14" s="86" t="s">
        <v>75</v>
      </c>
      <c r="C14" s="106">
        <f>C49</f>
        <v>0</v>
      </c>
      <c r="F14" s="82" t="s">
        <v>75</v>
      </c>
      <c r="G14" s="84">
        <f>G49</f>
        <v>0</v>
      </c>
      <c r="J14" s="82" t="s">
        <v>75</v>
      </c>
      <c r="K14" s="84">
        <f>K49</f>
        <v>0</v>
      </c>
    </row>
    <row r="15" spans="2:11" x14ac:dyDescent="0.2">
      <c r="B15" s="86" t="s">
        <v>76</v>
      </c>
      <c r="C15" s="107">
        <f>C50</f>
        <v>0.12</v>
      </c>
      <c r="F15" s="82" t="s">
        <v>76</v>
      </c>
      <c r="G15" s="85">
        <f>G50</f>
        <v>0.15</v>
      </c>
      <c r="J15" s="82" t="s">
        <v>76</v>
      </c>
      <c r="K15" s="85">
        <f>K50</f>
        <v>0.1</v>
      </c>
    </row>
    <row r="16" spans="2:11" x14ac:dyDescent="0.2">
      <c r="B16" s="86" t="s">
        <v>112</v>
      </c>
      <c r="C16" s="105">
        <f>C61</f>
        <v>1702943.9999999998</v>
      </c>
      <c r="F16" s="86" t="s">
        <v>112</v>
      </c>
      <c r="G16" s="83">
        <f>G61</f>
        <v>1685205</v>
      </c>
      <c r="J16" s="86" t="s">
        <v>112</v>
      </c>
      <c r="K16" s="83">
        <f>K61</f>
        <v>544500.00000000012</v>
      </c>
    </row>
    <row r="17" spans="2:11" x14ac:dyDescent="0.2">
      <c r="B17" s="86" t="s">
        <v>61</v>
      </c>
      <c r="C17" s="105">
        <f>C79</f>
        <v>511410</v>
      </c>
      <c r="F17" s="82" t="s">
        <v>61</v>
      </c>
      <c r="G17" s="83">
        <f>G79</f>
        <v>421410</v>
      </c>
      <c r="J17" s="82" t="s">
        <v>61</v>
      </c>
      <c r="K17" s="83">
        <f>K79</f>
        <v>211410</v>
      </c>
    </row>
    <row r="18" spans="2:11" x14ac:dyDescent="0.2">
      <c r="B18" s="86" t="s">
        <v>77</v>
      </c>
      <c r="C18" s="105">
        <f>C13+C17</f>
        <v>10737588.720000001</v>
      </c>
      <c r="F18" s="82" t="s">
        <v>77</v>
      </c>
      <c r="G18" s="83">
        <f>G13+G17</f>
        <v>8624145.3375000004</v>
      </c>
      <c r="J18" s="82" t="s">
        <v>77</v>
      </c>
      <c r="K18" s="83">
        <f>K13+K17</f>
        <v>4100501.2500000005</v>
      </c>
    </row>
    <row r="19" spans="2:11" x14ac:dyDescent="0.2">
      <c r="B19" s="86" t="s">
        <v>78</v>
      </c>
      <c r="C19" s="106">
        <f>C37</f>
        <v>26280</v>
      </c>
      <c r="F19" s="82" t="s">
        <v>78</v>
      </c>
      <c r="G19" s="84">
        <f>G37</f>
        <v>10402.5</v>
      </c>
      <c r="J19" s="82" t="s">
        <v>78</v>
      </c>
      <c r="K19" s="84">
        <f>K32</f>
        <v>55000</v>
      </c>
    </row>
    <row r="20" spans="2:11" x14ac:dyDescent="0.2">
      <c r="B20" s="86" t="s">
        <v>79</v>
      </c>
      <c r="C20" s="108">
        <f>C64</f>
        <v>389.12400000000002</v>
      </c>
      <c r="F20" s="82" t="s">
        <v>79</v>
      </c>
      <c r="G20" s="87">
        <f>G64</f>
        <v>788.53500000000008</v>
      </c>
      <c r="J20" s="82" t="s">
        <v>79</v>
      </c>
      <c r="K20" s="87">
        <f>K64</f>
        <v>70.710750000000004</v>
      </c>
    </row>
    <row r="21" spans="2:11" x14ac:dyDescent="0.2">
      <c r="B21" s="78"/>
      <c r="C21" s="79"/>
      <c r="F21" s="78"/>
      <c r="G21" s="79"/>
      <c r="J21" s="78"/>
      <c r="K21" s="79"/>
    </row>
    <row r="22" spans="2:11" x14ac:dyDescent="0.2">
      <c r="B22" s="78"/>
      <c r="C22" s="79"/>
      <c r="F22" s="97"/>
      <c r="G22" s="98"/>
      <c r="J22" s="88"/>
      <c r="K22" s="89"/>
    </row>
    <row r="23" spans="2:11" x14ac:dyDescent="0.2">
      <c r="B23" s="103" t="s">
        <v>32</v>
      </c>
      <c r="C23" s="104"/>
      <c r="F23" s="80" t="s">
        <v>32</v>
      </c>
      <c r="G23" s="81"/>
      <c r="J23" s="80" t="s">
        <v>32</v>
      </c>
      <c r="K23" s="81"/>
    </row>
    <row r="24" spans="2:11" x14ac:dyDescent="0.2">
      <c r="B24" s="86" t="s">
        <v>27</v>
      </c>
      <c r="C24" s="101">
        <f>'Inputs &amp; Scenarios'!C42</f>
        <v>1</v>
      </c>
      <c r="F24" s="99" t="s">
        <v>27</v>
      </c>
      <c r="G24" s="100">
        <f>'Inputs &amp; Scenarios'!C42</f>
        <v>1</v>
      </c>
      <c r="J24" s="82" t="s">
        <v>27</v>
      </c>
      <c r="K24" s="47">
        <f>'Inputs &amp; Scenarios'!C42</f>
        <v>1</v>
      </c>
    </row>
    <row r="25" spans="2:11" x14ac:dyDescent="0.2">
      <c r="B25" s="86" t="s">
        <v>28</v>
      </c>
      <c r="C25" s="101">
        <f>'Inputs &amp; Scenarios'!C43</f>
        <v>1</v>
      </c>
      <c r="F25" s="99" t="s">
        <v>28</v>
      </c>
      <c r="G25" s="100">
        <f>'Inputs &amp; Scenarios'!C43</f>
        <v>1</v>
      </c>
      <c r="J25" s="82" t="s">
        <v>28</v>
      </c>
      <c r="K25" s="47">
        <f>'Inputs &amp; Scenarios'!C43</f>
        <v>1</v>
      </c>
    </row>
    <row r="26" spans="2:11" x14ac:dyDescent="0.2">
      <c r="B26" s="86" t="s">
        <v>29</v>
      </c>
      <c r="C26" s="101">
        <f>'Inputs &amp; Scenarios'!C44</f>
        <v>1</v>
      </c>
      <c r="F26" s="99" t="s">
        <v>29</v>
      </c>
      <c r="G26" s="100">
        <f>'Inputs &amp; Scenarios'!C44</f>
        <v>1</v>
      </c>
      <c r="J26" s="82" t="s">
        <v>29</v>
      </c>
      <c r="K26" s="47">
        <f>'Inputs &amp; Scenarios'!C44</f>
        <v>1</v>
      </c>
    </row>
    <row r="27" spans="2:11" x14ac:dyDescent="0.2">
      <c r="B27" s="86" t="s">
        <v>30</v>
      </c>
      <c r="C27" s="101">
        <f>'Inputs &amp; Scenarios'!C45</f>
        <v>1</v>
      </c>
      <c r="F27" s="99" t="s">
        <v>30</v>
      </c>
      <c r="G27" s="100">
        <f>'Inputs &amp; Scenarios'!C45</f>
        <v>1</v>
      </c>
      <c r="J27" s="82" t="s">
        <v>30</v>
      </c>
      <c r="K27" s="47">
        <f>'Inputs &amp; Scenarios'!C45</f>
        <v>1</v>
      </c>
    </row>
    <row r="28" spans="2:11" x14ac:dyDescent="0.2">
      <c r="B28" s="86" t="s">
        <v>31</v>
      </c>
      <c r="C28" s="101">
        <f>'Inputs &amp; Scenarios'!C46</f>
        <v>1</v>
      </c>
      <c r="F28" s="99" t="s">
        <v>31</v>
      </c>
      <c r="G28" s="100">
        <f>'Inputs &amp; Scenarios'!C46</f>
        <v>1</v>
      </c>
      <c r="J28" s="82" t="s">
        <v>31</v>
      </c>
      <c r="K28" s="47">
        <f>'Inputs &amp; Scenarios'!C46</f>
        <v>1</v>
      </c>
    </row>
    <row r="29" spans="2:11" x14ac:dyDescent="0.2">
      <c r="B29" s="78"/>
      <c r="C29" s="79"/>
      <c r="F29" s="78"/>
      <c r="G29" s="79"/>
      <c r="J29" s="88"/>
      <c r="K29" s="89"/>
    </row>
    <row r="30" spans="2:11" x14ac:dyDescent="0.2">
      <c r="B30" s="78"/>
      <c r="C30" s="79"/>
      <c r="F30" s="88"/>
      <c r="G30" s="89"/>
      <c r="J30" s="88"/>
      <c r="K30" s="89"/>
    </row>
    <row r="31" spans="2:11" x14ac:dyDescent="0.2">
      <c r="B31" s="103" t="s">
        <v>33</v>
      </c>
      <c r="C31" s="104"/>
      <c r="F31" s="80" t="s">
        <v>33</v>
      </c>
      <c r="G31" s="81"/>
      <c r="J31" s="80" t="s">
        <v>33</v>
      </c>
      <c r="K31" s="81"/>
    </row>
    <row r="32" spans="2:11" x14ac:dyDescent="0.2">
      <c r="B32" s="86" t="s">
        <v>17</v>
      </c>
      <c r="C32" s="101">
        <f>'Inputs &amp; Scenarios'!C36</f>
        <v>80</v>
      </c>
      <c r="F32" s="82" t="s">
        <v>17</v>
      </c>
      <c r="G32" s="91">
        <f>'Inputs &amp; Scenarios'!C37</f>
        <v>30</v>
      </c>
      <c r="J32" s="82" t="s">
        <v>80</v>
      </c>
      <c r="K32" s="90">
        <f>'Inputs &amp; Scenarios'!H38</f>
        <v>55000</v>
      </c>
    </row>
    <row r="33" spans="2:11" x14ac:dyDescent="0.2">
      <c r="B33" s="86" t="s">
        <v>18</v>
      </c>
      <c r="C33" s="107">
        <f>'Inputs &amp; Scenarios'!D36</f>
        <v>0.9</v>
      </c>
      <c r="F33" s="82" t="s">
        <v>18</v>
      </c>
      <c r="G33" s="85">
        <f>'Inputs &amp; Scenarios'!D37</f>
        <v>0.95</v>
      </c>
      <c r="J33" s="82" t="s">
        <v>81</v>
      </c>
      <c r="K33" s="91">
        <f>'Inputs &amp; Scenarios'!I38</f>
        <v>1.1000000000000001</v>
      </c>
    </row>
    <row r="34" spans="2:11" x14ac:dyDescent="0.2">
      <c r="B34" s="86" t="s">
        <v>34</v>
      </c>
      <c r="C34" s="101">
        <f>'Inputs &amp; Scenarios'!E36*C26</f>
        <v>4</v>
      </c>
      <c r="F34" s="82" t="s">
        <v>34</v>
      </c>
      <c r="G34" s="101">
        <f>'Inputs &amp; Scenarios'!E37*G26</f>
        <v>2</v>
      </c>
      <c r="J34" s="82" t="s">
        <v>35</v>
      </c>
      <c r="K34" s="85">
        <f>'Inputs &amp; Scenarios'!F38</f>
        <v>0.1</v>
      </c>
    </row>
    <row r="35" spans="2:11" x14ac:dyDescent="0.2">
      <c r="B35" s="86" t="s">
        <v>35</v>
      </c>
      <c r="C35" s="107">
        <f>'Inputs &amp; Scenarios'!F36*C27</f>
        <v>0.12</v>
      </c>
      <c r="F35" s="82" t="s">
        <v>35</v>
      </c>
      <c r="G35" s="85">
        <f>'Inputs &amp; Scenarios'!F37*Model!G27</f>
        <v>0.15</v>
      </c>
      <c r="J35" s="82" t="s">
        <v>36</v>
      </c>
      <c r="K35" s="91">
        <f>'Inputs &amp; Scenarios'!G38</f>
        <v>30</v>
      </c>
    </row>
    <row r="36" spans="2:11" x14ac:dyDescent="0.2">
      <c r="B36" s="86" t="s">
        <v>36</v>
      </c>
      <c r="C36" s="101">
        <f>'Inputs &amp; Scenarios'!G36</f>
        <v>80</v>
      </c>
      <c r="F36" s="82" t="s">
        <v>36</v>
      </c>
      <c r="G36" s="91">
        <f>'Inputs &amp; Scenarios'!G37*Model!G26</f>
        <v>65</v>
      </c>
      <c r="J36" s="82" t="s">
        <v>39</v>
      </c>
      <c r="K36" s="91">
        <f>K32*K33</f>
        <v>60500.000000000007</v>
      </c>
    </row>
    <row r="37" spans="2:11" x14ac:dyDescent="0.2">
      <c r="B37" s="86" t="s">
        <v>37</v>
      </c>
      <c r="C37" s="92">
        <f>'Inputs &amp; Scenarios'!C36*'Inputs &amp; Scenarios'!D36*365*C25</f>
        <v>26280</v>
      </c>
      <c r="F37" s="82" t="s">
        <v>37</v>
      </c>
      <c r="G37" s="90">
        <f>'Inputs &amp; Scenarios'!C37*'Inputs &amp; Scenarios'!D37*365*Model!G25</f>
        <v>10402.5</v>
      </c>
      <c r="J37" s="88"/>
      <c r="K37" s="89"/>
    </row>
    <row r="38" spans="2:11" x14ac:dyDescent="0.2">
      <c r="B38" s="86" t="s">
        <v>38</v>
      </c>
      <c r="C38" s="109">
        <f>24/C34</f>
        <v>6</v>
      </c>
      <c r="F38" s="82" t="s">
        <v>38</v>
      </c>
      <c r="G38" s="91">
        <f>24/G34</f>
        <v>12</v>
      </c>
      <c r="J38" s="88"/>
      <c r="K38" s="89"/>
    </row>
    <row r="39" spans="2:11" x14ac:dyDescent="0.2">
      <c r="B39" s="86" t="s">
        <v>39</v>
      </c>
      <c r="C39" s="106">
        <f>C38*C37</f>
        <v>157680</v>
      </c>
      <c r="F39" s="82" t="s">
        <v>39</v>
      </c>
      <c r="G39" s="84">
        <f>G38*G37</f>
        <v>124830</v>
      </c>
      <c r="J39" s="88"/>
      <c r="K39" s="89"/>
    </row>
    <row r="40" spans="2:11" x14ac:dyDescent="0.2">
      <c r="B40" s="78"/>
      <c r="C40" s="79"/>
      <c r="F40" s="88"/>
      <c r="G40" s="89"/>
      <c r="J40" s="88"/>
      <c r="K40" s="89"/>
    </row>
    <row r="41" spans="2:11" x14ac:dyDescent="0.2">
      <c r="B41" s="78"/>
      <c r="C41" s="79"/>
      <c r="F41" s="88"/>
      <c r="G41" s="89"/>
      <c r="J41" s="88"/>
      <c r="K41" s="89"/>
    </row>
    <row r="42" spans="2:11" x14ac:dyDescent="0.2">
      <c r="B42" s="103" t="s">
        <v>40</v>
      </c>
      <c r="C42" s="104"/>
      <c r="F42" s="80" t="s">
        <v>40</v>
      </c>
      <c r="G42" s="81"/>
      <c r="J42" s="80" t="s">
        <v>40</v>
      </c>
      <c r="K42" s="81"/>
    </row>
    <row r="43" spans="2:11" x14ac:dyDescent="0.2">
      <c r="B43" s="86" t="s">
        <v>41</v>
      </c>
      <c r="C43" s="92">
        <f>'Inputs &amp; Scenarios'!$C$23</f>
        <v>1872</v>
      </c>
      <c r="F43" s="82" t="s">
        <v>41</v>
      </c>
      <c r="G43" s="92">
        <f>'Inputs &amp; Scenarios'!$C$23</f>
        <v>1872</v>
      </c>
      <c r="J43" s="82" t="s">
        <v>41</v>
      </c>
      <c r="K43" s="92">
        <f>'Inputs &amp; Scenarios'!$C$23</f>
        <v>1872</v>
      </c>
    </row>
    <row r="44" spans="2:11" x14ac:dyDescent="0.2">
      <c r="B44" s="86" t="s">
        <v>42</v>
      </c>
      <c r="C44" s="92">
        <f>C43*C36</f>
        <v>149760</v>
      </c>
      <c r="F44" s="82" t="s">
        <v>42</v>
      </c>
      <c r="G44" s="90">
        <f>G43*G36</f>
        <v>121680</v>
      </c>
      <c r="J44" s="82" t="s">
        <v>42</v>
      </c>
      <c r="K44" s="90">
        <f>K43*K35</f>
        <v>56160</v>
      </c>
    </row>
    <row r="45" spans="2:11" x14ac:dyDescent="0.2">
      <c r="B45" s="86" t="s">
        <v>43</v>
      </c>
      <c r="C45" s="92">
        <f>C35*C39</f>
        <v>18921.599999999999</v>
      </c>
      <c r="F45" s="82" t="s">
        <v>43</v>
      </c>
      <c r="G45" s="90">
        <f>G35*G39</f>
        <v>18724.5</v>
      </c>
      <c r="J45" s="82" t="s">
        <v>43</v>
      </c>
      <c r="K45" s="90">
        <f>K34*K36</f>
        <v>6050.0000000000009</v>
      </c>
    </row>
    <row r="46" spans="2:11" x14ac:dyDescent="0.2">
      <c r="B46" s="86" t="s">
        <v>44</v>
      </c>
      <c r="C46" s="106">
        <f>C39-C45</f>
        <v>138758.39999999999</v>
      </c>
      <c r="F46" s="82" t="s">
        <v>44</v>
      </c>
      <c r="G46" s="84">
        <f>G39-G45</f>
        <v>106105.5</v>
      </c>
      <c r="J46" s="82" t="s">
        <v>44</v>
      </c>
      <c r="K46" s="84">
        <f>K36-K45</f>
        <v>54450.000000000007</v>
      </c>
    </row>
    <row r="47" spans="2:11" x14ac:dyDescent="0.2">
      <c r="B47" s="86" t="s">
        <v>45</v>
      </c>
      <c r="C47" s="106">
        <f>MIN(C44,C46)</f>
        <v>138758.39999999999</v>
      </c>
      <c r="F47" s="82" t="s">
        <v>45</v>
      </c>
      <c r="G47" s="84">
        <f>MIN(G44,G46)</f>
        <v>106105.5</v>
      </c>
      <c r="J47" s="82" t="s">
        <v>45</v>
      </c>
      <c r="K47" s="84">
        <f>MIN(K44,K46)</f>
        <v>54450.000000000007</v>
      </c>
    </row>
    <row r="48" spans="2:11" x14ac:dyDescent="0.2">
      <c r="B48" s="86" t="s">
        <v>46</v>
      </c>
      <c r="C48" s="106">
        <f>MAX(0,(C46-C44))</f>
        <v>0</v>
      </c>
      <c r="F48" s="82" t="s">
        <v>46</v>
      </c>
      <c r="G48" s="84">
        <f>MAX(0,(G46-G44))</f>
        <v>0</v>
      </c>
      <c r="J48" s="82" t="s">
        <v>46</v>
      </c>
      <c r="K48" s="84">
        <f>MAX(0,(K46-K44))</f>
        <v>0</v>
      </c>
    </row>
    <row r="49" spans="2:11" x14ac:dyDescent="0.2">
      <c r="B49" s="86" t="s">
        <v>47</v>
      </c>
      <c r="C49" s="110">
        <f>C48/C39</f>
        <v>0</v>
      </c>
      <c r="F49" s="82" t="s">
        <v>47</v>
      </c>
      <c r="G49" s="93">
        <f>G48/G39</f>
        <v>0</v>
      </c>
      <c r="J49" s="82" t="s">
        <v>47</v>
      </c>
      <c r="K49" s="93">
        <f>K48/K36</f>
        <v>0</v>
      </c>
    </row>
    <row r="50" spans="2:11" x14ac:dyDescent="0.2">
      <c r="B50" s="86" t="s">
        <v>48</v>
      </c>
      <c r="C50" s="111">
        <f>C45/C39</f>
        <v>0.12</v>
      </c>
      <c r="F50" s="82" t="s">
        <v>48</v>
      </c>
      <c r="G50" s="93">
        <f>G45/G39</f>
        <v>0.15</v>
      </c>
      <c r="J50" s="82" t="s">
        <v>48</v>
      </c>
      <c r="K50" s="93">
        <f>K45/K36</f>
        <v>0.1</v>
      </c>
    </row>
    <row r="51" spans="2:11" x14ac:dyDescent="0.2">
      <c r="B51" s="78"/>
      <c r="C51" s="79"/>
      <c r="F51" s="88"/>
      <c r="G51" s="89"/>
      <c r="J51" s="88"/>
      <c r="K51" s="89"/>
    </row>
    <row r="52" spans="2:11" x14ac:dyDescent="0.2">
      <c r="B52" s="78"/>
      <c r="C52" s="79"/>
      <c r="F52" s="88"/>
      <c r="G52" s="89"/>
      <c r="J52" s="88"/>
      <c r="K52" s="89"/>
    </row>
    <row r="53" spans="2:11" x14ac:dyDescent="0.2">
      <c r="B53" s="103" t="s">
        <v>49</v>
      </c>
      <c r="C53" s="104"/>
      <c r="F53" s="80" t="s">
        <v>49</v>
      </c>
      <c r="G53" s="81"/>
      <c r="J53" s="80" t="s">
        <v>49</v>
      </c>
      <c r="K53" s="81"/>
    </row>
    <row r="54" spans="2:11" x14ac:dyDescent="0.2">
      <c r="B54" s="86" t="s">
        <v>50</v>
      </c>
      <c r="C54" s="108">
        <f>'Inputs &amp; Scenarios'!C18*C24</f>
        <v>45</v>
      </c>
      <c r="F54" s="82" t="s">
        <v>50</v>
      </c>
      <c r="G54" s="87">
        <f>'Inputs &amp; Scenarios'!C18*G24</f>
        <v>45</v>
      </c>
      <c r="J54" s="82" t="s">
        <v>50</v>
      </c>
      <c r="K54" s="87">
        <f>'Inputs &amp; Scenarios'!C18*K24</f>
        <v>45</v>
      </c>
    </row>
    <row r="55" spans="2:11" x14ac:dyDescent="0.2">
      <c r="B55" s="86" t="s">
        <v>51</v>
      </c>
      <c r="C55" s="112">
        <f>C54*'Inputs &amp; Scenarios'!C19</f>
        <v>67.5</v>
      </c>
      <c r="F55" s="82" t="s">
        <v>51</v>
      </c>
      <c r="G55" s="94">
        <f>G54*'Inputs &amp; Scenarios'!C19</f>
        <v>67.5</v>
      </c>
      <c r="J55" s="82" t="s">
        <v>51</v>
      </c>
      <c r="K55" s="94">
        <f>K54*'Inputs &amp; Scenarios'!C19</f>
        <v>67.5</v>
      </c>
    </row>
    <row r="56" spans="2:11" x14ac:dyDescent="0.2">
      <c r="B56" s="86" t="s">
        <v>52</v>
      </c>
      <c r="C56" s="108">
        <f>'Inputs &amp; Scenarios'!C20</f>
        <v>90</v>
      </c>
      <c r="F56" s="82" t="s">
        <v>52</v>
      </c>
      <c r="G56" s="87">
        <f>'Inputs &amp; Scenarios'!C20</f>
        <v>90</v>
      </c>
      <c r="J56" s="82" t="s">
        <v>52</v>
      </c>
      <c r="K56" s="87">
        <f>'Inputs &amp; Scenarios'!C20</f>
        <v>90</v>
      </c>
    </row>
    <row r="57" spans="2:11" x14ac:dyDescent="0.2">
      <c r="B57" s="86" t="s">
        <v>53</v>
      </c>
      <c r="C57" s="107">
        <f>'Inputs &amp; Scenarios'!C22</f>
        <v>0.05</v>
      </c>
      <c r="F57" s="82" t="s">
        <v>53</v>
      </c>
      <c r="G57" s="85">
        <f>'Inputs &amp; Scenarios'!C22</f>
        <v>0.05</v>
      </c>
      <c r="J57" s="82" t="s">
        <v>53</v>
      </c>
      <c r="K57" s="93">
        <f>'Inputs &amp; Scenarios'!C22</f>
        <v>0.05</v>
      </c>
    </row>
    <row r="58" spans="2:11" x14ac:dyDescent="0.2">
      <c r="B58" s="86" t="s">
        <v>54</v>
      </c>
      <c r="C58" s="107">
        <f>'Inputs &amp; Scenarios'!C21</f>
        <v>0.3</v>
      </c>
      <c r="F58" s="82" t="s">
        <v>54</v>
      </c>
      <c r="G58" s="85">
        <f>'Inputs &amp; Scenarios'!C21</f>
        <v>0.3</v>
      </c>
      <c r="J58" s="82" t="s">
        <v>54</v>
      </c>
      <c r="K58" s="85">
        <f>'Inputs &amp; Scenarios'!C21</f>
        <v>0.3</v>
      </c>
    </row>
    <row r="59" spans="2:11" x14ac:dyDescent="0.2">
      <c r="B59" s="86" t="s">
        <v>55</v>
      </c>
      <c r="C59" s="108">
        <f>C47*C54*(1+C57)</f>
        <v>6556334.4000000004</v>
      </c>
      <c r="F59" s="82" t="s">
        <v>55</v>
      </c>
      <c r="G59" s="87">
        <f>G47*G54*(1+G57)</f>
        <v>5013484.875</v>
      </c>
      <c r="J59" s="82" t="s">
        <v>55</v>
      </c>
      <c r="K59" s="87">
        <f>K47*K54*(1+K57)</f>
        <v>2572762.5000000005</v>
      </c>
    </row>
    <row r="60" spans="2:11" x14ac:dyDescent="0.2">
      <c r="B60" s="86" t="s">
        <v>56</v>
      </c>
      <c r="C60" s="108">
        <f>C48*C55*(1+C57)</f>
        <v>0</v>
      </c>
      <c r="F60" s="82" t="s">
        <v>56</v>
      </c>
      <c r="G60" s="87">
        <f>G48*G55*(1+G57)</f>
        <v>0</v>
      </c>
      <c r="J60" s="82" t="s">
        <v>56</v>
      </c>
      <c r="K60" s="87">
        <f>K48*K55*(1+K57)</f>
        <v>0</v>
      </c>
    </row>
    <row r="61" spans="2:11" x14ac:dyDescent="0.2">
      <c r="B61" s="86" t="s">
        <v>57</v>
      </c>
      <c r="C61" s="108">
        <f>C45*C56</f>
        <v>1702943.9999999998</v>
      </c>
      <c r="F61" s="82" t="s">
        <v>57</v>
      </c>
      <c r="G61" s="87">
        <f>G45*G56</f>
        <v>1685205</v>
      </c>
      <c r="J61" s="82" t="s">
        <v>57</v>
      </c>
      <c r="K61" s="87">
        <f>K45*K56</f>
        <v>544500.00000000012</v>
      </c>
    </row>
    <row r="62" spans="2:11" x14ac:dyDescent="0.2">
      <c r="B62" s="86" t="s">
        <v>58</v>
      </c>
      <c r="C62" s="108">
        <f>SUM(C59:C61)</f>
        <v>8259278.4000000004</v>
      </c>
      <c r="F62" s="82" t="s">
        <v>58</v>
      </c>
      <c r="G62" s="87">
        <f>SUM(G59:G61)</f>
        <v>6698689.875</v>
      </c>
      <c r="J62" s="82" t="s">
        <v>58</v>
      </c>
      <c r="K62" s="87">
        <f>SUM(K59:K61)</f>
        <v>3117262.5000000005</v>
      </c>
    </row>
    <row r="63" spans="2:11" x14ac:dyDescent="0.2">
      <c r="B63" s="86" t="s">
        <v>59</v>
      </c>
      <c r="C63" s="108">
        <f>C62+((C59+C60)*C58)</f>
        <v>10226178.720000001</v>
      </c>
      <c r="F63" s="82" t="s">
        <v>59</v>
      </c>
      <c r="G63" s="87">
        <f>G62+((G59+G60)*G58)</f>
        <v>8202735.3375000004</v>
      </c>
      <c r="J63" s="82" t="s">
        <v>59</v>
      </c>
      <c r="K63" s="87">
        <f>K62+((K59+K60)*K58)</f>
        <v>3889091.2500000005</v>
      </c>
    </row>
    <row r="64" spans="2:11" x14ac:dyDescent="0.2">
      <c r="B64" s="86" t="s">
        <v>60</v>
      </c>
      <c r="C64" s="108">
        <f>C63/C37</f>
        <v>389.12400000000002</v>
      </c>
      <c r="F64" s="82" t="s">
        <v>60</v>
      </c>
      <c r="G64" s="87">
        <f>G63/G37</f>
        <v>788.53500000000008</v>
      </c>
      <c r="J64" s="82" t="s">
        <v>82</v>
      </c>
      <c r="K64" s="87">
        <f>K63/K32</f>
        <v>70.710750000000004</v>
      </c>
    </row>
    <row r="65" spans="2:11" x14ac:dyDescent="0.2">
      <c r="B65" s="78"/>
      <c r="C65" s="79"/>
      <c r="F65" s="88"/>
      <c r="G65" s="89"/>
      <c r="J65" s="88"/>
      <c r="K65" s="89"/>
    </row>
    <row r="66" spans="2:11" x14ac:dyDescent="0.2">
      <c r="B66" s="78"/>
      <c r="C66" s="79"/>
      <c r="F66" s="88"/>
      <c r="G66" s="89"/>
      <c r="J66" s="88"/>
      <c r="K66" s="89"/>
    </row>
    <row r="67" spans="2:11" x14ac:dyDescent="0.2">
      <c r="B67" s="103" t="s">
        <v>61</v>
      </c>
      <c r="C67" s="104"/>
      <c r="F67" s="80" t="s">
        <v>61</v>
      </c>
      <c r="G67" s="81"/>
      <c r="J67" s="80" t="s">
        <v>61</v>
      </c>
      <c r="K67" s="81"/>
    </row>
    <row r="68" spans="2:11" x14ac:dyDescent="0.2">
      <c r="B68" s="86" t="s">
        <v>62</v>
      </c>
      <c r="C68" s="107">
        <f>'Inputs &amp; Scenarios'!C27*C28</f>
        <v>0.15</v>
      </c>
      <c r="F68" s="82" t="s">
        <v>62</v>
      </c>
      <c r="G68" s="85">
        <f>'Inputs &amp; Scenarios'!F37*G28</f>
        <v>0.15</v>
      </c>
      <c r="J68" s="82" t="s">
        <v>62</v>
      </c>
      <c r="K68" s="85">
        <f>'Inputs &amp; Scenarios'!F37*K28</f>
        <v>0.15</v>
      </c>
    </row>
    <row r="69" spans="2:11" x14ac:dyDescent="0.2">
      <c r="B69" s="86" t="s">
        <v>63</v>
      </c>
      <c r="C69" s="101">
        <f>C36</f>
        <v>80</v>
      </c>
      <c r="F69" s="82" t="s">
        <v>63</v>
      </c>
      <c r="G69" s="91">
        <f>G36</f>
        <v>65</v>
      </c>
      <c r="J69" s="82" t="s">
        <v>63</v>
      </c>
      <c r="K69" s="91">
        <f>K35</f>
        <v>30</v>
      </c>
    </row>
    <row r="70" spans="2:11" x14ac:dyDescent="0.2">
      <c r="B70" s="86" t="s">
        <v>64</v>
      </c>
      <c r="C70" s="101">
        <f>C68*C69</f>
        <v>12</v>
      </c>
      <c r="F70" s="82" t="s">
        <v>64</v>
      </c>
      <c r="G70" s="91">
        <f>G68*G69</f>
        <v>9.75</v>
      </c>
      <c r="J70" s="82" t="s">
        <v>64</v>
      </c>
      <c r="K70" s="91">
        <f>K68*K69</f>
        <v>4.5</v>
      </c>
    </row>
    <row r="71" spans="2:11" x14ac:dyDescent="0.2">
      <c r="B71" s="86" t="s">
        <v>65</v>
      </c>
      <c r="C71" s="113">
        <f>'Inputs &amp; Scenarios'!C28</f>
        <v>40000</v>
      </c>
      <c r="F71" s="82" t="s">
        <v>65</v>
      </c>
      <c r="G71" s="102">
        <f>'Inputs &amp; Scenarios'!C28</f>
        <v>40000</v>
      </c>
      <c r="J71" s="82" t="s">
        <v>65</v>
      </c>
      <c r="K71" s="87">
        <f>'Inputs &amp; Scenarios'!C28</f>
        <v>40000</v>
      </c>
    </row>
    <row r="72" spans="2:11" x14ac:dyDescent="0.2">
      <c r="B72" s="86" t="s">
        <v>66</v>
      </c>
      <c r="C72" s="113">
        <f>C71*C70</f>
        <v>480000</v>
      </c>
      <c r="F72" s="82" t="s">
        <v>66</v>
      </c>
      <c r="G72" s="102">
        <f>G71*G70</f>
        <v>390000</v>
      </c>
      <c r="J72" s="82" t="s">
        <v>66</v>
      </c>
      <c r="K72" s="87">
        <f>K71*K70</f>
        <v>180000</v>
      </c>
    </row>
    <row r="73" spans="2:11" x14ac:dyDescent="0.2">
      <c r="B73" s="86" t="s">
        <v>12</v>
      </c>
      <c r="C73" s="101">
        <f>'Inputs &amp; Scenarios'!C29</f>
        <v>10</v>
      </c>
      <c r="F73" s="82" t="s">
        <v>12</v>
      </c>
      <c r="G73" s="91">
        <f>'Inputs &amp; Scenarios'!C29</f>
        <v>10</v>
      </c>
      <c r="J73" s="82" t="s">
        <v>12</v>
      </c>
      <c r="K73" s="91">
        <f>'Inputs &amp; Scenarios'!C29</f>
        <v>10</v>
      </c>
    </row>
    <row r="74" spans="2:11" x14ac:dyDescent="0.2">
      <c r="B74" s="86" t="s">
        <v>67</v>
      </c>
      <c r="C74" s="101">
        <f>C73*40</f>
        <v>400</v>
      </c>
      <c r="F74" s="82" t="s">
        <v>67</v>
      </c>
      <c r="G74" s="91">
        <f>G73*40</f>
        <v>400</v>
      </c>
      <c r="J74" s="82" t="s">
        <v>67</v>
      </c>
      <c r="K74" s="91">
        <f>K73*40</f>
        <v>400</v>
      </c>
    </row>
    <row r="75" spans="2:11" x14ac:dyDescent="0.2">
      <c r="B75" s="86" t="s">
        <v>68</v>
      </c>
      <c r="C75" s="101">
        <f>C74*'Inputs &amp; Scenarios'!C30</f>
        <v>160</v>
      </c>
      <c r="F75" s="82" t="s">
        <v>68</v>
      </c>
      <c r="G75" s="91">
        <f>G74*'Inputs &amp; Scenarios'!C30</f>
        <v>160</v>
      </c>
      <c r="J75" s="82" t="s">
        <v>68</v>
      </c>
      <c r="K75" s="91">
        <f>K74*'Inputs &amp; Scenarios'!C30</f>
        <v>160</v>
      </c>
    </row>
    <row r="76" spans="2:11" x14ac:dyDescent="0.2">
      <c r="B76" s="86" t="s">
        <v>69</v>
      </c>
      <c r="C76" s="101">
        <f>C74*'Inputs &amp; Scenarios'!C31</f>
        <v>240</v>
      </c>
      <c r="F76" s="82" t="s">
        <v>69</v>
      </c>
      <c r="G76" s="91">
        <f>G74*'Inputs &amp; Scenarios'!C31</f>
        <v>240</v>
      </c>
      <c r="J76" s="82" t="s">
        <v>69</v>
      </c>
      <c r="K76" s="91">
        <f>K74*'Inputs &amp; Scenarios'!C31</f>
        <v>240</v>
      </c>
    </row>
    <row r="77" spans="2:11" x14ac:dyDescent="0.2">
      <c r="B77" s="86" t="s">
        <v>70</v>
      </c>
      <c r="C77" s="105">
        <f>C75*C56</f>
        <v>14400</v>
      </c>
      <c r="F77" s="82" t="s">
        <v>70</v>
      </c>
      <c r="G77" s="83">
        <f>G75*G56</f>
        <v>14400</v>
      </c>
      <c r="J77" s="82" t="s">
        <v>70</v>
      </c>
      <c r="K77" s="83">
        <f>K75*K56</f>
        <v>14400</v>
      </c>
    </row>
    <row r="78" spans="2:11" x14ac:dyDescent="0.2">
      <c r="B78" s="86" t="s">
        <v>71</v>
      </c>
      <c r="C78" s="114">
        <f>C76*C55*(1+C57)</f>
        <v>17010</v>
      </c>
      <c r="F78" s="82" t="s">
        <v>71</v>
      </c>
      <c r="G78" s="83">
        <f>G76*G55*(1+G57)</f>
        <v>17010</v>
      </c>
      <c r="J78" s="82" t="s">
        <v>71</v>
      </c>
      <c r="K78" s="83">
        <f>K76*K55*(1+K57)</f>
        <v>17010</v>
      </c>
    </row>
    <row r="79" spans="2:11" ht="17" thickBot="1" x14ac:dyDescent="0.25">
      <c r="B79" s="115" t="s">
        <v>72</v>
      </c>
      <c r="C79" s="116">
        <f>C72+C77+C78</f>
        <v>511410</v>
      </c>
      <c r="F79" s="95" t="s">
        <v>72</v>
      </c>
      <c r="G79" s="96">
        <f>G72+G77+G78</f>
        <v>421410</v>
      </c>
      <c r="J79" s="95" t="s">
        <v>72</v>
      </c>
      <c r="K79" s="96">
        <f>K72+K77+K78</f>
        <v>211410</v>
      </c>
    </row>
    <row r="80" spans="2:11" x14ac:dyDescent="0.2">
      <c r="J80" s="1"/>
      <c r="K80" s="1"/>
    </row>
    <row r="81" spans="6:11" x14ac:dyDescent="0.2">
      <c r="J81" s="1"/>
      <c r="K81" s="1"/>
    </row>
    <row r="82" spans="6:11" x14ac:dyDescent="0.2">
      <c r="F82" s="1"/>
      <c r="G82" s="1"/>
      <c r="J82" s="1"/>
      <c r="K82" s="1"/>
    </row>
    <row r="83" spans="6:11" x14ac:dyDescent="0.2">
      <c r="F83" s="1"/>
      <c r="G83" s="1"/>
      <c r="J83" s="1"/>
      <c r="K83" s="1"/>
    </row>
    <row r="84" spans="6:11" x14ac:dyDescent="0.2">
      <c r="F84" s="1"/>
      <c r="G84" s="1"/>
      <c r="J84" s="1"/>
      <c r="K84" s="1"/>
    </row>
    <row r="85" spans="6:11" x14ac:dyDescent="0.2">
      <c r="F85" s="1"/>
      <c r="G85" s="1"/>
      <c r="J85" s="1"/>
      <c r="K85" s="1"/>
    </row>
    <row r="86" spans="6:11" x14ac:dyDescent="0.2">
      <c r="F86" s="1"/>
      <c r="G86" s="1"/>
      <c r="J86" s="1"/>
      <c r="K86" s="1"/>
    </row>
    <row r="87" spans="6:11" x14ac:dyDescent="0.2">
      <c r="F87" s="1"/>
      <c r="G87" s="1"/>
    </row>
    <row r="88" spans="6:11" x14ac:dyDescent="0.2">
      <c r="F88" s="1"/>
      <c r="G88" s="1"/>
    </row>
    <row r="89" spans="6:11" x14ac:dyDescent="0.2">
      <c r="F89" s="1"/>
      <c r="G89" s="1"/>
    </row>
  </sheetData>
  <mergeCells count="5">
    <mergeCell ref="B2:K4"/>
    <mergeCell ref="B9:C10"/>
    <mergeCell ref="F9:G10"/>
    <mergeCell ref="J9:K10"/>
    <mergeCell ref="F6:G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Drop Down 1">
              <controlPr defaultSize="0" autoLine="0" autoPict="0">
                <anchor>
                  <from>
                    <xdr:col>5</xdr:col>
                    <xdr:colOff>2844800</xdr:colOff>
                    <xdr:row>6</xdr:row>
                    <xdr:rowOff>25400</xdr:rowOff>
                  </from>
                  <to>
                    <xdr:col>6</xdr:col>
                    <xdr:colOff>1295400</xdr:colOff>
                    <xdr:row>6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A887-3307-554D-9A04-5BBA56965B96}">
  <dimension ref="B1:I46"/>
  <sheetViews>
    <sheetView showGridLines="0" zoomScale="130" zoomScaleNormal="130" workbookViewId="0">
      <selection activeCell="H25" sqref="H25"/>
    </sheetView>
  </sheetViews>
  <sheetFormatPr baseColWidth="10" defaultRowHeight="16" x14ac:dyDescent="0.2"/>
  <cols>
    <col min="1" max="1" width="2.33203125" style="1" customWidth="1"/>
    <col min="2" max="2" width="39.6640625" style="1" customWidth="1"/>
    <col min="3" max="3" width="14.1640625" style="1" bestFit="1" customWidth="1"/>
    <col min="4" max="4" width="26" style="1" bestFit="1" customWidth="1"/>
    <col min="5" max="5" width="23.83203125" style="1" customWidth="1"/>
    <col min="6" max="6" width="17.6640625" style="1" bestFit="1" customWidth="1"/>
    <col min="7" max="7" width="20.83203125" style="1" bestFit="1" customWidth="1"/>
    <col min="8" max="8" width="35.1640625" style="1" bestFit="1" customWidth="1"/>
    <col min="9" max="9" width="19.33203125" style="1" bestFit="1" customWidth="1"/>
    <col min="10" max="16384" width="10.83203125" style="1"/>
  </cols>
  <sheetData>
    <row r="1" spans="2:9" ht="11" customHeight="1" x14ac:dyDescent="0.2"/>
    <row r="2" spans="2:9" ht="16" customHeight="1" x14ac:dyDescent="0.2">
      <c r="B2" s="36" t="s">
        <v>99</v>
      </c>
      <c r="C2" s="36"/>
      <c r="D2" s="36"/>
      <c r="E2" s="36"/>
      <c r="F2" s="36"/>
      <c r="G2" s="36"/>
      <c r="H2" s="36"/>
      <c r="I2" s="36"/>
    </row>
    <row r="3" spans="2:9" ht="16" customHeight="1" x14ac:dyDescent="0.2">
      <c r="B3" s="36"/>
      <c r="C3" s="36"/>
      <c r="D3" s="36"/>
      <c r="E3" s="36"/>
      <c r="F3" s="36"/>
      <c r="G3" s="36"/>
      <c r="H3" s="36"/>
      <c r="I3" s="36"/>
    </row>
    <row r="4" spans="2:9" ht="8" customHeight="1" x14ac:dyDescent="0.2">
      <c r="B4" s="36"/>
      <c r="C4" s="36"/>
      <c r="D4" s="36"/>
      <c r="E4" s="36"/>
      <c r="F4" s="36"/>
      <c r="G4" s="36"/>
      <c r="H4" s="36"/>
      <c r="I4" s="36"/>
    </row>
    <row r="6" spans="2:9" x14ac:dyDescent="0.2">
      <c r="B6" s="21" t="s">
        <v>0</v>
      </c>
      <c r="C6" s="23"/>
    </row>
    <row r="7" spans="2:9" ht="25" customHeight="1" x14ac:dyDescent="0.2">
      <c r="B7" s="7" t="s">
        <v>1</v>
      </c>
      <c r="C7" s="5">
        <v>1</v>
      </c>
    </row>
    <row r="9" spans="2:9" x14ac:dyDescent="0.2">
      <c r="B9" s="22" t="s">
        <v>104</v>
      </c>
      <c r="C9" s="24" t="s">
        <v>27</v>
      </c>
      <c r="D9" s="24" t="s">
        <v>28</v>
      </c>
      <c r="E9" s="24" t="s">
        <v>29</v>
      </c>
      <c r="F9" s="24" t="s">
        <v>30</v>
      </c>
      <c r="G9" s="24" t="s">
        <v>31</v>
      </c>
      <c r="H9"/>
    </row>
    <row r="10" spans="2:9" ht="17" x14ac:dyDescent="0.2">
      <c r="B10" s="11" t="s">
        <v>95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</row>
    <row r="11" spans="2:9" x14ac:dyDescent="0.2">
      <c r="B11" s="12" t="s">
        <v>96</v>
      </c>
      <c r="C11" s="5">
        <v>0.98</v>
      </c>
      <c r="D11" s="5">
        <v>0.97</v>
      </c>
      <c r="E11" s="5">
        <v>1.05</v>
      </c>
      <c r="F11" s="5">
        <v>0.8</v>
      </c>
      <c r="G11" s="5">
        <v>0.95</v>
      </c>
    </row>
    <row r="12" spans="2:9" x14ac:dyDescent="0.2">
      <c r="B12" s="12" t="s">
        <v>97</v>
      </c>
      <c r="C12" s="5">
        <v>1.05</v>
      </c>
      <c r="D12" s="5">
        <v>1.03</v>
      </c>
      <c r="E12" s="5">
        <v>0.95</v>
      </c>
      <c r="F12" s="5">
        <v>0.7</v>
      </c>
      <c r="G12" s="5">
        <v>0.85</v>
      </c>
    </row>
    <row r="13" spans="2:9" x14ac:dyDescent="0.2">
      <c r="B13" s="12" t="s">
        <v>98</v>
      </c>
      <c r="C13" s="5">
        <v>1.08</v>
      </c>
      <c r="D13" s="5">
        <v>1</v>
      </c>
      <c r="E13" s="5">
        <v>0.85</v>
      </c>
      <c r="F13" s="5">
        <v>1.3</v>
      </c>
      <c r="G13" s="5">
        <v>1.4</v>
      </c>
    </row>
    <row r="14" spans="2:9" ht="34" x14ac:dyDescent="0.2">
      <c r="B14" s="5" t="s">
        <v>89</v>
      </c>
      <c r="C14" s="20" t="s">
        <v>105</v>
      </c>
      <c r="D14" s="20" t="s">
        <v>90</v>
      </c>
      <c r="E14" s="20" t="s">
        <v>91</v>
      </c>
      <c r="F14" s="20" t="s">
        <v>92</v>
      </c>
      <c r="G14" s="20" t="s">
        <v>93</v>
      </c>
    </row>
    <row r="17" spans="2:3" x14ac:dyDescent="0.2">
      <c r="B17" s="21" t="s">
        <v>2</v>
      </c>
      <c r="C17" s="21"/>
    </row>
    <row r="18" spans="2:3" x14ac:dyDescent="0.2">
      <c r="B18" s="6" t="s">
        <v>3</v>
      </c>
      <c r="C18" s="18">
        <v>45</v>
      </c>
    </row>
    <row r="19" spans="2:3" x14ac:dyDescent="0.2">
      <c r="B19" s="6" t="s">
        <v>4</v>
      </c>
      <c r="C19" s="19">
        <v>1.5</v>
      </c>
    </row>
    <row r="20" spans="2:3" x14ac:dyDescent="0.2">
      <c r="B20" s="6" t="s">
        <v>5</v>
      </c>
      <c r="C20" s="18">
        <v>90</v>
      </c>
    </row>
    <row r="21" spans="2:3" x14ac:dyDescent="0.2">
      <c r="B21" s="6" t="s">
        <v>6</v>
      </c>
      <c r="C21" s="17">
        <v>0.3</v>
      </c>
    </row>
    <row r="22" spans="2:3" x14ac:dyDescent="0.2">
      <c r="B22" s="6" t="s">
        <v>7</v>
      </c>
      <c r="C22" s="17">
        <v>0.05</v>
      </c>
    </row>
    <row r="23" spans="2:3" x14ac:dyDescent="0.2">
      <c r="B23" s="6" t="s">
        <v>8</v>
      </c>
      <c r="C23" s="19">
        <v>1872</v>
      </c>
    </row>
    <row r="26" spans="2:3" x14ac:dyDescent="0.2">
      <c r="B26" s="21" t="s">
        <v>9</v>
      </c>
      <c r="C26" s="21"/>
    </row>
    <row r="27" spans="2:3" x14ac:dyDescent="0.2">
      <c r="B27" s="6" t="s">
        <v>10</v>
      </c>
      <c r="C27" s="17">
        <v>0.15</v>
      </c>
    </row>
    <row r="28" spans="2:3" x14ac:dyDescent="0.2">
      <c r="B28" s="6" t="s">
        <v>11</v>
      </c>
      <c r="C28" s="18">
        <v>40000</v>
      </c>
    </row>
    <row r="29" spans="2:3" x14ac:dyDescent="0.2">
      <c r="B29" s="6" t="s">
        <v>12</v>
      </c>
      <c r="C29" s="19">
        <v>10</v>
      </c>
    </row>
    <row r="30" spans="2:3" x14ac:dyDescent="0.2">
      <c r="B30" s="6" t="s">
        <v>13</v>
      </c>
      <c r="C30" s="17">
        <v>0.4</v>
      </c>
    </row>
    <row r="31" spans="2:3" x14ac:dyDescent="0.2">
      <c r="B31" s="6" t="s">
        <v>14</v>
      </c>
      <c r="C31" s="17">
        <v>0.6</v>
      </c>
    </row>
    <row r="34" spans="2:9" x14ac:dyDescent="0.2">
      <c r="B34" s="21" t="s">
        <v>15</v>
      </c>
      <c r="C34" s="21"/>
      <c r="D34" s="23"/>
      <c r="E34" s="23"/>
      <c r="F34" s="23"/>
      <c r="G34" s="23"/>
      <c r="H34" s="23"/>
      <c r="I34" s="23"/>
    </row>
    <row r="35" spans="2:9" x14ac:dyDescent="0.2">
      <c r="B35" s="4" t="s">
        <v>16</v>
      </c>
      <c r="C35" s="4" t="s">
        <v>17</v>
      </c>
      <c r="D35" s="4" t="s">
        <v>18</v>
      </c>
      <c r="E35" s="4" t="s">
        <v>19</v>
      </c>
      <c r="F35" s="4" t="s">
        <v>20</v>
      </c>
      <c r="G35" s="4" t="s">
        <v>94</v>
      </c>
      <c r="H35" s="4" t="s">
        <v>21</v>
      </c>
      <c r="I35" s="4" t="s">
        <v>22</v>
      </c>
    </row>
    <row r="36" spans="2:9" x14ac:dyDescent="0.2">
      <c r="B36" s="6" t="s">
        <v>23</v>
      </c>
      <c r="C36" s="14">
        <v>80</v>
      </c>
      <c r="D36" s="15">
        <v>0.9</v>
      </c>
      <c r="E36" s="14">
        <v>4</v>
      </c>
      <c r="F36" s="15">
        <v>0.12</v>
      </c>
      <c r="G36" s="14">
        <v>80</v>
      </c>
      <c r="H36" s="14"/>
      <c r="I36" s="14"/>
    </row>
    <row r="37" spans="2:9" x14ac:dyDescent="0.2">
      <c r="B37" s="6" t="s">
        <v>24</v>
      </c>
      <c r="C37" s="14">
        <v>30</v>
      </c>
      <c r="D37" s="15">
        <v>0.95</v>
      </c>
      <c r="E37" s="14">
        <v>2</v>
      </c>
      <c r="F37" s="15">
        <v>0.15</v>
      </c>
      <c r="G37" s="14">
        <v>65</v>
      </c>
      <c r="H37" s="14"/>
      <c r="I37" s="14"/>
    </row>
    <row r="38" spans="2:9" x14ac:dyDescent="0.2">
      <c r="B38" s="6" t="s">
        <v>25</v>
      </c>
      <c r="C38" s="14"/>
      <c r="D38" s="14"/>
      <c r="E38" s="14"/>
      <c r="F38" s="15">
        <v>0.1</v>
      </c>
      <c r="G38" s="14">
        <v>30</v>
      </c>
      <c r="H38" s="16">
        <v>55000</v>
      </c>
      <c r="I38" s="14">
        <v>1.1000000000000001</v>
      </c>
    </row>
    <row r="39" spans="2:9" x14ac:dyDescent="0.2">
      <c r="C39" s="2"/>
      <c r="D39" s="2"/>
      <c r="E39" s="2"/>
      <c r="F39" s="2"/>
      <c r="G39" s="2"/>
    </row>
    <row r="40" spans="2:9" x14ac:dyDescent="0.2">
      <c r="H40" s="2"/>
      <c r="I40" s="2"/>
    </row>
    <row r="41" spans="2:9" x14ac:dyDescent="0.2">
      <c r="B41" s="21" t="s">
        <v>26</v>
      </c>
      <c r="C41" s="23"/>
    </row>
    <row r="42" spans="2:9" x14ac:dyDescent="0.2">
      <c r="B42" s="6" t="s">
        <v>27</v>
      </c>
      <c r="C42" s="13" cm="1">
        <f t="array" ref="C42">INDEX(C10:C13,$C$7)</f>
        <v>1</v>
      </c>
    </row>
    <row r="43" spans="2:9" x14ac:dyDescent="0.2">
      <c r="B43" s="6" t="s">
        <v>28</v>
      </c>
      <c r="C43" s="13" cm="1">
        <f t="array" ref="C43">INDEX(D10:D13,$C$7)</f>
        <v>1</v>
      </c>
    </row>
    <row r="44" spans="2:9" x14ac:dyDescent="0.2">
      <c r="B44" s="6" t="s">
        <v>29</v>
      </c>
      <c r="C44" s="13" cm="1">
        <f t="array" ref="C44">INDEX(E10:E13,$C$7)</f>
        <v>1</v>
      </c>
    </row>
    <row r="45" spans="2:9" x14ac:dyDescent="0.2">
      <c r="B45" s="6" t="s">
        <v>30</v>
      </c>
      <c r="C45" s="13" cm="1">
        <f t="array" ref="C45">INDEX(F10:F13,$C$7)</f>
        <v>1</v>
      </c>
    </row>
    <row r="46" spans="2:9" x14ac:dyDescent="0.2">
      <c r="B46" s="6" t="s">
        <v>31</v>
      </c>
      <c r="C46" s="13" cm="1">
        <f t="array" ref="C46">INDEX(G10:G13,$C$7)</f>
        <v>1</v>
      </c>
    </row>
  </sheetData>
  <mergeCells count="1">
    <mergeCell ref="B2:I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>
                  <from>
                    <xdr:col>1</xdr:col>
                    <xdr:colOff>2692400</xdr:colOff>
                    <xdr:row>6</xdr:row>
                    <xdr:rowOff>25400</xdr:rowOff>
                  </from>
                  <to>
                    <xdr:col>2</xdr:col>
                    <xdr:colOff>965200</xdr:colOff>
                    <xdr:row>6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Output - Rollup</vt:lpstr>
      <vt:lpstr>Model</vt:lpstr>
      <vt:lpstr>Inputs &amp;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Alali</dc:creator>
  <cp:lastModifiedBy>Abdulrahman Alali</cp:lastModifiedBy>
  <dcterms:created xsi:type="dcterms:W3CDTF">2026-02-05T17:17:02Z</dcterms:created>
  <dcterms:modified xsi:type="dcterms:W3CDTF">2026-02-09T22:02:40Z</dcterms:modified>
</cp:coreProperties>
</file>